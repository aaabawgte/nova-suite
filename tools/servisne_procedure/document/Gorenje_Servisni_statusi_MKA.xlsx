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ljko.lepen\Documents\GORENJE SERVIS\MGA\2023\"/>
    </mc:Choice>
  </mc:AlternateContent>
  <xr:revisionPtr revIDLastSave="0" documentId="13_ncr:1_{7E018B44-5CA1-4370-81C4-F2D4D9A5D47B}" xr6:coauthVersionLast="47" xr6:coauthVersionMax="47" xr10:uidLastSave="{00000000-0000-0000-0000-000000000000}"/>
  <bookViews>
    <workbookView xWindow="-120" yWindow="-120" windowWidth="29040" windowHeight="15840" activeTab="1" xr2:uid="{9F4E9CE8-FBD9-48C6-A0D9-FC57AAA92A28}"/>
  </bookViews>
  <sheets>
    <sheet name="PRETRAGA po artiklu" sheetId="2" r:id="rId1"/>
    <sheet name="Tablica status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" i="2" l="1"/>
  <c r="G5" i="2" s="1"/>
  <c r="E5" i="2"/>
  <c r="D5" i="2"/>
</calcChain>
</file>

<file path=xl/sharedStrings.xml><?xml version="1.0" encoding="utf-8"?>
<sst xmlns="http://schemas.openxmlformats.org/spreadsheetml/2006/main" count="590" uniqueCount="530">
  <si>
    <t>TIP</t>
  </si>
  <si>
    <t>MODEL</t>
  </si>
  <si>
    <t>1. APARATI ZA REZANJE</t>
  </si>
  <si>
    <t>RAP11ST</t>
  </si>
  <si>
    <t>R401W</t>
  </si>
  <si>
    <t>Q228-150</t>
  </si>
  <si>
    <t>R506E</t>
  </si>
  <si>
    <t>RAM11ST</t>
  </si>
  <si>
    <t>R607A</t>
  </si>
  <si>
    <t>Q519-150</t>
  </si>
  <si>
    <t>R706A</t>
  </si>
  <si>
    <t>2. RUČNE MIJEŠALICE (MIKSERI)</t>
  </si>
  <si>
    <t>LW-2012G1</t>
  </si>
  <si>
    <t>M450W</t>
  </si>
  <si>
    <t>M450B</t>
  </si>
  <si>
    <t>ME210MST</t>
  </si>
  <si>
    <t>ME510W</t>
  </si>
  <si>
    <t>LW-2012G2</t>
  </si>
  <si>
    <t>M450WS</t>
  </si>
  <si>
    <t>LW-2012G3</t>
  </si>
  <si>
    <t>M450BS</t>
  </si>
  <si>
    <t>LW-3359</t>
  </si>
  <si>
    <t>HBX481QW</t>
  </si>
  <si>
    <t>HB6031KC-GS</t>
  </si>
  <si>
    <t>HBX601W</t>
  </si>
  <si>
    <t>LW-3358G5</t>
  </si>
  <si>
    <t>HBX603RL</t>
  </si>
  <si>
    <t>HBX604QB</t>
  </si>
  <si>
    <t>HB-936A</t>
  </si>
  <si>
    <t>HBX884QE</t>
  </si>
  <si>
    <t>LW-3375G3</t>
  </si>
  <si>
    <t>HBX804VS</t>
  </si>
  <si>
    <t>3. SJECKALICE</t>
  </si>
  <si>
    <t>EC05</t>
  </si>
  <si>
    <t>S300W</t>
  </si>
  <si>
    <t>LW6217G</t>
  </si>
  <si>
    <t>S400W</t>
  </si>
  <si>
    <t>E955</t>
  </si>
  <si>
    <t>S 500 W</t>
  </si>
  <si>
    <t xml:space="preserve">4. BLENDERI </t>
  </si>
  <si>
    <t>EPB-002</t>
  </si>
  <si>
    <t xml:space="preserve">BSM600PR/2  </t>
  </si>
  <si>
    <t>EPB-02</t>
  </si>
  <si>
    <t>BSM600W</t>
  </si>
  <si>
    <t>FPB-04</t>
  </si>
  <si>
    <t>BSM600GCW</t>
  </si>
  <si>
    <t>UM-1036</t>
  </si>
  <si>
    <t>B600W</t>
  </si>
  <si>
    <t>LW-9613G1</t>
  </si>
  <si>
    <t>B800RL</t>
  </si>
  <si>
    <t>B600BG</t>
  </si>
  <si>
    <t>PC600</t>
  </si>
  <si>
    <t>BN1000W</t>
  </si>
  <si>
    <t>BL-301</t>
  </si>
  <si>
    <t xml:space="preserve">BPC2B  </t>
  </si>
  <si>
    <t>5. DEHIDRATOR HRANE</t>
  </si>
  <si>
    <t>KYS-336B</t>
  </si>
  <si>
    <t>FDK24DW</t>
  </si>
  <si>
    <t>KYS-336F6</t>
  </si>
  <si>
    <t>FDK500GCW</t>
  </si>
  <si>
    <t>6. SOKOVNICI</t>
  </si>
  <si>
    <t>TXG-034C</t>
  </si>
  <si>
    <t>CJ25W</t>
  </si>
  <si>
    <t>BH3372</t>
  </si>
  <si>
    <t>CJ90E</t>
  </si>
  <si>
    <t>GS-401F</t>
  </si>
  <si>
    <t>CJ100HE</t>
  </si>
  <si>
    <t>GS-308</t>
  </si>
  <si>
    <t>JC805EII</t>
  </si>
  <si>
    <t>GS-351</t>
  </si>
  <si>
    <t>JC900E</t>
  </si>
  <si>
    <t>GS-102</t>
  </si>
  <si>
    <t>JC4800VWY</t>
  </si>
  <si>
    <t>7. APARATI ZA MLJEVENJE MESA</t>
  </si>
  <si>
    <t>LW-6127G1</t>
  </si>
  <si>
    <t>MG1600W</t>
  </si>
  <si>
    <t>LW6135G3</t>
  </si>
  <si>
    <t>MG1800SJW</t>
  </si>
  <si>
    <t>LW6107G1</t>
  </si>
  <si>
    <t>MG2000XE</t>
  </si>
  <si>
    <t xml:space="preserve">LW-6117G1 </t>
  </si>
  <si>
    <t>MG2500SJW</t>
  </si>
  <si>
    <t>8. KUHINJSKI STROJ / MULTIPRAKTIK</t>
  </si>
  <si>
    <t>EF303</t>
  </si>
  <si>
    <t xml:space="preserve">SB800B </t>
  </si>
  <si>
    <t>EF402</t>
  </si>
  <si>
    <t xml:space="preserve">SBR1000BE </t>
  </si>
  <si>
    <t xml:space="preserve">LW-6855G1  </t>
  </si>
  <si>
    <t>MMC700W</t>
  </si>
  <si>
    <t xml:space="preserve">LW-68123G1 </t>
  </si>
  <si>
    <t>MMC1000W</t>
  </si>
  <si>
    <t>LW-6813G1</t>
  </si>
  <si>
    <t xml:space="preserve">MMC1000RL </t>
  </si>
  <si>
    <t>LW-6819G1</t>
  </si>
  <si>
    <t>MMC1500IY</t>
  </si>
  <si>
    <t>MMC1500BK</t>
  </si>
  <si>
    <t>MMC-TJ</t>
  </si>
  <si>
    <t>MMCGA4</t>
  </si>
  <si>
    <t>MMC-GA4</t>
  </si>
  <si>
    <t>MMC-CM</t>
  </si>
  <si>
    <t>MMC-BVS3</t>
  </si>
  <si>
    <t>MMC.TPC</t>
  </si>
  <si>
    <t>MMC-TPC</t>
  </si>
  <si>
    <t>MMC-SPC</t>
  </si>
  <si>
    <t>MMC-FPR</t>
  </si>
  <si>
    <t>MMC-SMP5</t>
  </si>
  <si>
    <t>9. TOSTERI / KONTAKTNI ROŠTILJI / ROŠTILJI</t>
  </si>
  <si>
    <t>TA8211</t>
  </si>
  <si>
    <t>T850WE</t>
  </si>
  <si>
    <t>T850BK</t>
  </si>
  <si>
    <t>LD-T7019</t>
  </si>
  <si>
    <t>T900RL</t>
  </si>
  <si>
    <t>T386</t>
  </si>
  <si>
    <t>T1100INF</t>
  </si>
  <si>
    <t>T316BV</t>
  </si>
  <si>
    <t>T1100CLI</t>
  </si>
  <si>
    <t>T1100CLBK</t>
  </si>
  <si>
    <t>TA1018A-GS</t>
  </si>
  <si>
    <t>T1000E</t>
  </si>
  <si>
    <t>T349</t>
  </si>
  <si>
    <t>T900KARIM</t>
  </si>
  <si>
    <t>SW-219</t>
  </si>
  <si>
    <t>SM701I</t>
  </si>
  <si>
    <t>SW-2027</t>
  </si>
  <si>
    <t>SM701GCW</t>
  </si>
  <si>
    <t>SM701GCB</t>
  </si>
  <si>
    <t>SW-81M</t>
  </si>
  <si>
    <t>SM703BK</t>
  </si>
  <si>
    <t>SW-237</t>
  </si>
  <si>
    <t xml:space="preserve">WCM702PW </t>
  </si>
  <si>
    <t>WCM702PR</t>
  </si>
  <si>
    <t xml:space="preserve">A313 </t>
  </si>
  <si>
    <t>KR 1800 SDP</t>
  </si>
  <si>
    <t>KYS-862C</t>
  </si>
  <si>
    <t>TG2514B</t>
  </si>
  <si>
    <t>10. GLAČALA / PARNE POSTAJE</t>
  </si>
  <si>
    <t>SG6001</t>
  </si>
  <si>
    <t>SIH1800BT</t>
  </si>
  <si>
    <t>SG-5166</t>
  </si>
  <si>
    <t>SIH2200GC</t>
  </si>
  <si>
    <t>SG5058</t>
  </si>
  <si>
    <t>SIH2200BS</t>
  </si>
  <si>
    <t>SG5001</t>
  </si>
  <si>
    <t>SIH2200BC</t>
  </si>
  <si>
    <t>SIH2200TC</t>
  </si>
  <si>
    <t>SG-5058</t>
  </si>
  <si>
    <t>SIH2200PC</t>
  </si>
  <si>
    <t>SG-8008</t>
  </si>
  <si>
    <t>SIH2600BSS</t>
  </si>
  <si>
    <t>SIH2600GC</t>
  </si>
  <si>
    <t>SIH2600YC</t>
  </si>
  <si>
    <t>11. APARATI ZA VAKUMIRANJE</t>
  </si>
  <si>
    <t>VS2320</t>
  </si>
  <si>
    <t>VS 120 W</t>
  </si>
  <si>
    <t>VS2660</t>
  </si>
  <si>
    <t>VS120E</t>
  </si>
  <si>
    <t>-</t>
  </si>
  <si>
    <t>VB12/55</t>
  </si>
  <si>
    <t>VB22/300</t>
  </si>
  <si>
    <t>VB28/300</t>
  </si>
  <si>
    <t>12. OVLAŽIVAČI ZRAKA</t>
  </si>
  <si>
    <t>HU2005</t>
  </si>
  <si>
    <t>H17G</t>
  </si>
  <si>
    <t>SCK5001</t>
  </si>
  <si>
    <t>H50DW</t>
  </si>
  <si>
    <t>13. APARATI ZA PEČENJE KRUHA</t>
  </si>
  <si>
    <t>BM1349</t>
  </si>
  <si>
    <t>BM910WII</t>
  </si>
  <si>
    <t>BM1310</t>
  </si>
  <si>
    <t>BM910W</t>
  </si>
  <si>
    <t>BM1406</t>
  </si>
  <si>
    <t>BM1200BK</t>
  </si>
  <si>
    <t>BM8901</t>
  </si>
  <si>
    <t>BM1600WG</t>
  </si>
  <si>
    <t>14. MLINCI ZA KAVU</t>
  </si>
  <si>
    <t>CG9139-GS</t>
  </si>
  <si>
    <t xml:space="preserve">SMK150E </t>
  </si>
  <si>
    <t>PCML2013T</t>
  </si>
  <si>
    <t>SMK150W</t>
  </si>
  <si>
    <t>SMK150B</t>
  </si>
  <si>
    <t>15. KUHALA VODE</t>
  </si>
  <si>
    <t>FK-1401</t>
  </si>
  <si>
    <t xml:space="preserve">K17WII </t>
  </si>
  <si>
    <t>KE01301Z-GS</t>
  </si>
  <si>
    <t>K17BK</t>
  </si>
  <si>
    <t>K17WE</t>
  </si>
  <si>
    <t>FK-1407</t>
  </si>
  <si>
    <t>K17GWII</t>
  </si>
  <si>
    <t>FK-1509</t>
  </si>
  <si>
    <t>K17GWE</t>
  </si>
  <si>
    <t>LD-K3042</t>
  </si>
  <si>
    <t>K15RL</t>
  </si>
  <si>
    <t>FK-1205</t>
  </si>
  <si>
    <t>K17FE</t>
  </si>
  <si>
    <t>WK8315NSSY</t>
  </si>
  <si>
    <t>K17INF</t>
  </si>
  <si>
    <t>WK8326WCY</t>
  </si>
  <si>
    <t>K15 KARIM</t>
  </si>
  <si>
    <t>WK8213NDY</t>
  </si>
  <si>
    <t>K17CLI</t>
  </si>
  <si>
    <t>K 17 CLBK</t>
  </si>
  <si>
    <t xml:space="preserve">16. APARATI ZA KAVU </t>
  </si>
  <si>
    <t>XN48</t>
  </si>
  <si>
    <t>TCM300W</t>
  </si>
  <si>
    <t>CN-0115</t>
  </si>
  <si>
    <t>CMC 1400 B</t>
  </si>
  <si>
    <t>17. VAGE</t>
  </si>
  <si>
    <t>KS1507L</t>
  </si>
  <si>
    <t>KT10PR LED</t>
  </si>
  <si>
    <t>KT10KARIM LED</t>
  </si>
  <si>
    <t>BS15091L</t>
  </si>
  <si>
    <t>OT180KARIM LED</t>
  </si>
  <si>
    <t>18. PRIJENOSNE INDUKCIJSKE PLOČE</t>
  </si>
  <si>
    <t>CHK-S2106</t>
  </si>
  <si>
    <t>ICE2000SP</t>
  </si>
  <si>
    <t>CHK-DS3502</t>
  </si>
  <si>
    <t>ICE3500DP</t>
  </si>
  <si>
    <t>19. PARNI ČISTAČ</t>
  </si>
  <si>
    <t>XN93</t>
  </si>
  <si>
    <t>SC1800R</t>
  </si>
  <si>
    <t>20. USISAVAČI I PRIBOR</t>
  </si>
  <si>
    <t>VC3907</t>
  </si>
  <si>
    <t>MVC72FW</t>
  </si>
  <si>
    <t>HV01</t>
  </si>
  <si>
    <t>MVC148FW</t>
  </si>
  <si>
    <t>VC2930</t>
  </si>
  <si>
    <t>SVC144FW</t>
  </si>
  <si>
    <t>SVC216FS</t>
  </si>
  <si>
    <t>VC2932</t>
  </si>
  <si>
    <t>SVC216FR</t>
  </si>
  <si>
    <t>VCEB11CXR II</t>
  </si>
  <si>
    <t>VCB38</t>
  </si>
  <si>
    <t>VCEA11CMBU</t>
  </si>
  <si>
    <t>VCEA11CMBK</t>
  </si>
  <si>
    <t>TPC01</t>
  </si>
  <si>
    <t>VCEA21GLW</t>
  </si>
  <si>
    <t>VCEA22GLBU</t>
  </si>
  <si>
    <t xml:space="preserve">VCEA 23 GLR   </t>
  </si>
  <si>
    <t xml:space="preserve">VCEA 28 GLBK   </t>
  </si>
  <si>
    <t>VCHT4530</t>
  </si>
  <si>
    <t>VCEA21GPLW</t>
  </si>
  <si>
    <t>VCEA21GPLRCY</t>
  </si>
  <si>
    <t xml:space="preserve">VCEA 22 GPLBK </t>
  </si>
  <si>
    <t xml:space="preserve">VCEA 23 GPLBL  </t>
  </si>
  <si>
    <t>VCEA21GPRRCY</t>
  </si>
  <si>
    <t xml:space="preserve">VCEA 22 GPRBK </t>
  </si>
  <si>
    <t xml:space="preserve">VCEA 23 GPRBU  </t>
  </si>
  <si>
    <t>VCEA01GACBUCY</t>
  </si>
  <si>
    <t>GT-E808</t>
  </si>
  <si>
    <t>VCEB01TBKRCYII</t>
  </si>
  <si>
    <t>VCEA02GALWCY</t>
  </si>
  <si>
    <t>VCEA03GALBKCY</t>
  </si>
  <si>
    <t>VCEA03GAPRACY</t>
  </si>
  <si>
    <t>VCW4503</t>
  </si>
  <si>
    <t>VCEB01GAWWF</t>
  </si>
  <si>
    <t>KBW001</t>
  </si>
  <si>
    <t>VC1601BUWD-wet&amp;dry</t>
  </si>
  <si>
    <t>GB1PBU</t>
  </si>
  <si>
    <t>GB1TBR</t>
  </si>
  <si>
    <t>GB1MBUP</t>
  </si>
  <si>
    <t>GB2PBU</t>
  </si>
  <si>
    <t>GB2TBR</t>
  </si>
  <si>
    <t>GB2MBUP</t>
  </si>
  <si>
    <t>GB2MBFS</t>
  </si>
  <si>
    <t>GB2MBAS</t>
  </si>
  <si>
    <t>21. MIKROVALNE PEĆNICE</t>
  </si>
  <si>
    <t>SXB177YZ-U</t>
  </si>
  <si>
    <t>MO17MW</t>
  </si>
  <si>
    <t>MO17DW</t>
  </si>
  <si>
    <t>MO17ME</t>
  </si>
  <si>
    <t>MO17DE</t>
  </si>
  <si>
    <t>MO20MW</t>
  </si>
  <si>
    <t>XY820Z</t>
  </si>
  <si>
    <t>MMO20MWII</t>
  </si>
  <si>
    <t>MMO20MBII</t>
  </si>
  <si>
    <t>MMO20DWII</t>
  </si>
  <si>
    <t>MMO20MEII</t>
  </si>
  <si>
    <t>MMO20MGWII</t>
  </si>
  <si>
    <t>MMO20DBII</t>
  </si>
  <si>
    <t>MMO20DGWII</t>
  </si>
  <si>
    <t>MMO20DEII</t>
  </si>
  <si>
    <t>GXD239YZ-U</t>
  </si>
  <si>
    <t>MO 20 KARIM</t>
  </si>
  <si>
    <t>MMG53L-3</t>
  </si>
  <si>
    <t>MO4250CLB</t>
  </si>
  <si>
    <t>MO4250CLI</t>
  </si>
  <si>
    <t>MO6240SY2B</t>
  </si>
  <si>
    <t>MO6240SY2W</t>
  </si>
  <si>
    <t>WD900DI523B</t>
  </si>
  <si>
    <t>MO23ORAB</t>
  </si>
  <si>
    <t>MO23ORAW</t>
  </si>
  <si>
    <t>MO23ST</t>
  </si>
  <si>
    <t>ICM1201</t>
  </si>
  <si>
    <t>IMC 1200 B</t>
  </si>
  <si>
    <t>23. ULJNA PREŠA</t>
  </si>
  <si>
    <t>YD-ZY-03A</t>
  </si>
  <si>
    <t xml:space="preserve">OP650W  </t>
  </si>
  <si>
    <t xml:space="preserve">24. FRITEZA NA VRUĆI ZRAK </t>
  </si>
  <si>
    <t>HF-898</t>
  </si>
  <si>
    <t>AF1500B</t>
  </si>
  <si>
    <t>25. POSUĐE</t>
  </si>
  <si>
    <t>SILVER COUNTESS
6-DJELNI SET</t>
  </si>
  <si>
    <t xml:space="preserve">SILVER COUNTESS
9- DJELNI SET </t>
  </si>
  <si>
    <t>26. APARATI ZA NJEGU KOSE</t>
  </si>
  <si>
    <t>RCY102</t>
  </si>
  <si>
    <t>HD122B</t>
  </si>
  <si>
    <t>HD122P</t>
  </si>
  <si>
    <t>HTS03BG</t>
  </si>
  <si>
    <t>RCY167Mi</t>
  </si>
  <si>
    <t>HD203BG</t>
  </si>
  <si>
    <t>RCY128i</t>
  </si>
  <si>
    <t>HD215PR</t>
  </si>
  <si>
    <t>HS933</t>
  </si>
  <si>
    <t>HS90BG</t>
  </si>
  <si>
    <t>HS947A</t>
  </si>
  <si>
    <t>HS110PR</t>
  </si>
  <si>
    <t>HSB 01 PR</t>
  </si>
  <si>
    <t>HB747C</t>
  </si>
  <si>
    <t>HC19PR</t>
  </si>
  <si>
    <t>27. BABY ASORTIMAN</t>
  </si>
  <si>
    <t>NS30K01AP-H</t>
  </si>
  <si>
    <t xml:space="preserve">BW330BY  </t>
  </si>
  <si>
    <t xml:space="preserve">H17BY  </t>
  </si>
  <si>
    <t>X55P02AS-D</t>
  </si>
  <si>
    <t xml:space="preserve">ST550BY  </t>
  </si>
  <si>
    <t>TB1303</t>
  </si>
  <si>
    <t xml:space="preserve">K10BY </t>
  </si>
  <si>
    <t>TB1102</t>
  </si>
  <si>
    <t xml:space="preserve">BFM900BY  </t>
  </si>
  <si>
    <t>SERVISNI STATUS</t>
  </si>
  <si>
    <t>ARTIKL</t>
  </si>
  <si>
    <t>M350LBW</t>
  </si>
  <si>
    <t>OT150LBW</t>
  </si>
  <si>
    <t>HBX601LBW</t>
  </si>
  <si>
    <t>B500LBW</t>
  </si>
  <si>
    <t>BSM600LBW</t>
  </si>
  <si>
    <t>T900LBW</t>
  </si>
  <si>
    <t>K17PLBW</t>
  </si>
  <si>
    <t>K17GLBW</t>
  </si>
  <si>
    <t>S500LBW</t>
  </si>
  <si>
    <t>MMC700LBW</t>
  </si>
  <si>
    <t>KT05LBW</t>
  </si>
  <si>
    <t>HB6031KJ-GS</t>
  </si>
  <si>
    <t>E32MST</t>
  </si>
  <si>
    <t>MC363AK-CB</t>
  </si>
  <si>
    <t>BH3371</t>
  </si>
  <si>
    <t>A312</t>
  </si>
  <si>
    <t>FK-1306</t>
  </si>
  <si>
    <t xml:space="preserve">VC2932 </t>
  </si>
  <si>
    <t>HBX600W</t>
  </si>
  <si>
    <t>ME501N</t>
  </si>
  <si>
    <t>S500GW</t>
  </si>
  <si>
    <t>CJ40W</t>
  </si>
  <si>
    <t>KR 1800 SM</t>
  </si>
  <si>
    <t xml:space="preserve">K17I </t>
  </si>
  <si>
    <t>VCEA11CXW II</t>
  </si>
  <si>
    <t>SVC144FBK</t>
  </si>
  <si>
    <t>VCEA 21 GLBL</t>
  </si>
  <si>
    <t>VCEA01GACWCY</t>
  </si>
  <si>
    <t>SGH2400BBSUPREME</t>
  </si>
  <si>
    <t>SIH1100TBT</t>
  </si>
  <si>
    <t>ME510I</t>
  </si>
  <si>
    <t>KYS-326A</t>
  </si>
  <si>
    <t>FDK20MO</t>
  </si>
  <si>
    <t>R707A</t>
  </si>
  <si>
    <t>BSM600CLW</t>
  </si>
  <si>
    <t>B501LBW</t>
  </si>
  <si>
    <t>B800GBK</t>
  </si>
  <si>
    <t>B1000GE</t>
  </si>
  <si>
    <t>BN1200AL</t>
  </si>
  <si>
    <t>SB800LBW</t>
  </si>
  <si>
    <t>SM703GCG</t>
  </si>
  <si>
    <t>H40W</t>
  </si>
  <si>
    <t>BM1210BK</t>
  </si>
  <si>
    <t>TCM330B</t>
  </si>
  <si>
    <t>TCM330W</t>
  </si>
  <si>
    <t>SVC180FW</t>
  </si>
  <si>
    <t>SVC216GFW</t>
  </si>
  <si>
    <t>SVC252GFA</t>
  </si>
  <si>
    <t>GB3MBWD</t>
  </si>
  <si>
    <t>NIJE PREDVIĐENO SERVISIRANJE – U GARANCIJI ZAMJENA – NEMA RD</t>
  </si>
  <si>
    <t>NIJE PREDVIĐENO SERVISIRANJE – U GARANCIJI ZAMJENA – RASPOLOŽIVI SU SAMO ODREĐENI RD za koje nije potreban zahvat servisera</t>
  </si>
  <si>
    <t>DJELOMIČNO SERVISIRAMO - FUNKCIONALNI RD + RD BEZ ZAHVATA SERVISERA</t>
  </si>
  <si>
    <t>SERVISIRAMO</t>
  </si>
  <si>
    <t>OPIS STATUSA</t>
  </si>
  <si>
    <t>TG2000CB</t>
  </si>
  <si>
    <t>SVC219FMV</t>
  </si>
  <si>
    <t>MO17E1W</t>
  </si>
  <si>
    <t>MO17E1S</t>
  </si>
  <si>
    <t>MO20E1W</t>
  </si>
  <si>
    <t>MO20E1B</t>
  </si>
  <si>
    <t>MO20E1S</t>
  </si>
  <si>
    <t>MO20E2W</t>
  </si>
  <si>
    <t>MO20A3W</t>
  </si>
  <si>
    <t>MO20A3B</t>
  </si>
  <si>
    <t>MO20A3X</t>
  </si>
  <si>
    <t>MO20A4W</t>
  </si>
  <si>
    <t>M020A4X</t>
  </si>
  <si>
    <t>MO20S4W</t>
  </si>
  <si>
    <t>MO23A4X</t>
  </si>
  <si>
    <t>HD213GG</t>
  </si>
  <si>
    <t>R901A</t>
  </si>
  <si>
    <t>SIH1800BLT</t>
  </si>
  <si>
    <t>SIH1800TQC</t>
  </si>
  <si>
    <t>SIH2200DGT</t>
  </si>
  <si>
    <t>SIH2200BBC</t>
  </si>
  <si>
    <t>SIH2200RBC</t>
  </si>
  <si>
    <t>SIH2200BLC</t>
  </si>
  <si>
    <t>SIH2200TQC</t>
  </si>
  <si>
    <t>SIH2600BLC</t>
  </si>
  <si>
    <t>SIH2800TQC</t>
  </si>
  <si>
    <t>SIH3000RBC</t>
  </si>
  <si>
    <t>SGH2200LBC</t>
  </si>
  <si>
    <t>H45W</t>
  </si>
  <si>
    <t>CW 09 ES</t>
  </si>
  <si>
    <t>HD203BK</t>
  </si>
  <si>
    <t>HS110BK</t>
  </si>
  <si>
    <t>B501MB</t>
  </si>
  <si>
    <t>M360CW</t>
  </si>
  <si>
    <t>M460CBK</t>
  </si>
  <si>
    <t>M420CW</t>
  </si>
  <si>
    <t>M460CDC</t>
  </si>
  <si>
    <t>M550CSDC</t>
  </si>
  <si>
    <t>HBC561QW</t>
  </si>
  <si>
    <t>HBC564QW</t>
  </si>
  <si>
    <t>HBC802QW</t>
  </si>
  <si>
    <t>HBC804QW</t>
  </si>
  <si>
    <t>HBC806QW</t>
  </si>
  <si>
    <t>HBC807QB</t>
  </si>
  <si>
    <t>HBX1000XE</t>
  </si>
  <si>
    <t>B800XE</t>
  </si>
  <si>
    <t>MMC1000XE</t>
  </si>
  <si>
    <t>MMC1000RLR</t>
  </si>
  <si>
    <t>K15DWW</t>
  </si>
  <si>
    <t>K17TRB</t>
  </si>
  <si>
    <t>ESCM15DBK</t>
  </si>
  <si>
    <t>ICM2000SP</t>
  </si>
  <si>
    <t>SVC216FMLW</t>
  </si>
  <si>
    <t>SVC252GFR</t>
  </si>
  <si>
    <t>SVC252FMBK</t>
  </si>
  <si>
    <t>VCE21EMV</t>
  </si>
  <si>
    <t>VCE03SPRCY</t>
  </si>
  <si>
    <t>SC1200W</t>
  </si>
  <si>
    <t>RVC216BK</t>
  </si>
  <si>
    <t>AF1409DB</t>
  </si>
  <si>
    <t>AF1409DW</t>
  </si>
  <si>
    <t>IMD 1200 W</t>
  </si>
  <si>
    <t>SVC 252 FMWT</t>
  </si>
  <si>
    <t>28. PROČIŠČIVAČ ZRAKA</t>
  </si>
  <si>
    <t>AP 350</t>
  </si>
  <si>
    <t>K15DWWBK</t>
  </si>
  <si>
    <t>MO21E1W2</t>
  </si>
  <si>
    <t>MO20S4WEU</t>
  </si>
  <si>
    <t>TG2000LCB</t>
  </si>
  <si>
    <t>JC400E</t>
  </si>
  <si>
    <t>MVC72HGA</t>
  </si>
  <si>
    <t>VCEA24GPRA</t>
  </si>
  <si>
    <t>VCEA22GPLBKCY</t>
  </si>
  <si>
    <t>HM 1400-GS</t>
  </si>
  <si>
    <t>M500DCBK</t>
  </si>
  <si>
    <t>K15ORAW</t>
  </si>
  <si>
    <t>KE3061-GS</t>
  </si>
  <si>
    <t>M350BM</t>
  </si>
  <si>
    <t>VC2932-GS</t>
  </si>
  <si>
    <t>AF1700DB</t>
  </si>
  <si>
    <t>AF-5001A</t>
  </si>
  <si>
    <t>S 501 GW</t>
  </si>
  <si>
    <t>S501GBK</t>
  </si>
  <si>
    <t>BN 1000 E</t>
  </si>
  <si>
    <t>CJ 30 E</t>
  </si>
  <si>
    <t>SB 801 W</t>
  </si>
  <si>
    <t>MMC 1500 AL</t>
  </si>
  <si>
    <t>SMK 150 WI</t>
  </si>
  <si>
    <t>K 17 DWS</t>
  </si>
  <si>
    <t>K 17 GE</t>
  </si>
  <si>
    <t>K 17 GED</t>
  </si>
  <si>
    <t>K 17 GPD</t>
  </si>
  <si>
    <t>K 17 FER</t>
  </si>
  <si>
    <t>MG 1602 W</t>
  </si>
  <si>
    <t>MG 2202 XE</t>
  </si>
  <si>
    <t>SFC144W</t>
  </si>
  <si>
    <t>MO20E1WH</t>
  </si>
  <si>
    <t>MO20E2BH</t>
  </si>
  <si>
    <t>MO20A3WH</t>
  </si>
  <si>
    <t>29. MINI PEĆNICA</t>
  </si>
  <si>
    <t>OM 30 GBX</t>
  </si>
  <si>
    <t>VC3919</t>
  </si>
  <si>
    <t>HVC6134W</t>
  </si>
  <si>
    <t>VC3919A</t>
  </si>
  <si>
    <t>HVC6264BK</t>
  </si>
  <si>
    <t>VC3919B</t>
  </si>
  <si>
    <t>HVC6464A</t>
  </si>
  <si>
    <t>HCG2100S</t>
  </si>
  <si>
    <t>BL9702-GS</t>
  </si>
  <si>
    <t>B 1400 E</t>
  </si>
  <si>
    <t>MMC805W</t>
  </si>
  <si>
    <t>MMC 1005 W</t>
  </si>
  <si>
    <t>SIC2200BLC</t>
  </si>
  <si>
    <t>K 15 DWBK</t>
  </si>
  <si>
    <t>K17FEII</t>
  </si>
  <si>
    <t>MO17E1WH</t>
  </si>
  <si>
    <t>MO17E1BH</t>
  </si>
  <si>
    <t>MO20A4BH</t>
  </si>
  <si>
    <t>MO20A4XH</t>
  </si>
  <si>
    <t>22. LEDOMATI /APARAT ZA SLADOLED</t>
  </si>
  <si>
    <t>ICM10W</t>
  </si>
  <si>
    <t>ICE-1031</t>
  </si>
  <si>
    <t>H20MOWP1</t>
  </si>
  <si>
    <t>H20MOBP1H</t>
  </si>
  <si>
    <t>H20MOMP1</t>
  </si>
  <si>
    <t>H20MOMP1H</t>
  </si>
  <si>
    <t>H20MOMS4</t>
  </si>
  <si>
    <t>H23MOBS5H</t>
  </si>
  <si>
    <t>H25MOBS7H</t>
  </si>
  <si>
    <t>H29MOBS9H</t>
  </si>
  <si>
    <t>H30MOBS10HC</t>
  </si>
  <si>
    <t>RVCG144AB</t>
  </si>
  <si>
    <t xml:space="preserve">RVCL144W </t>
  </si>
  <si>
    <t>RVCLS144B</t>
  </si>
  <si>
    <t>HAF2900D</t>
  </si>
  <si>
    <t>R 708 A</t>
  </si>
  <si>
    <t>R 902 A</t>
  </si>
  <si>
    <t>SM 703GCB</t>
  </si>
  <si>
    <t>ICR 2000 SP</t>
  </si>
  <si>
    <t>ICY 2000 SP</t>
  </si>
  <si>
    <t>ICY 3500 DP</t>
  </si>
  <si>
    <t>OT 180 LBW</t>
  </si>
  <si>
    <t>KT 10 LBW</t>
  </si>
  <si>
    <t>30. VIŠE NAMJENSKO KUHALO</t>
  </si>
  <si>
    <t>MC6MBK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</si>
</sst>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000"/>
  </numFmts>
  <fonts count="5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9.5"/>
      <color theme="1"/>
      <name val="Tahoma"/>
      <family val="2"/>
      <charset val="238"/>
    </font>
    <font>
      <sz val="9.5"/>
      <color theme="1"/>
      <name val="Tahoma"/>
      <family val="2"/>
      <charset val="238"/>
    </font>
    <font>
      <sz val="10"/>
      <name val="Arial"/>
      <family val="2"/>
      <charset val="238"/>
    </font>
    <font>
      <sz val="9.5"/>
      <name val="Tahoma"/>
      <family val="2"/>
      <charset val="238"/>
    </font>
    <font>
      <sz val="10"/>
      <name val="Arial CE"/>
      <charset val="238"/>
    </font>
    <font>
      <b/>
      <sz val="9.5"/>
      <name val="Tahoma"/>
      <family val="2"/>
      <charset val="238"/>
    </font>
    <font>
      <sz val="9.5"/>
      <color indexed="8"/>
      <name val="Tahoma"/>
      <family val="2"/>
      <charset val="238"/>
    </font>
    <font>
      <sz val="9.5"/>
      <color rgb="FF000000"/>
      <name val="Tahoma"/>
      <family val="2"/>
      <charset val="238"/>
    </font>
    <font>
      <sz val="11"/>
      <color rgb="FFFF0000"/>
      <name val="Calibri"/>
      <family val="2"/>
      <charset val="238"/>
      <scheme val="minor"/>
    </font>
    <font>
      <sz val="8"/>
      <color theme="1"/>
      <name val="Tahoma"/>
      <family val="2"/>
      <charset val="238"/>
    </font>
    <font>
      <sz val="9.5"/>
      <color rgb="FFFF0000"/>
      <name val="Tahoma"/>
      <family val="2"/>
      <charset val="238"/>
    </font>
    <font>
      <sz val="8"/>
      <color rgb="FFFF0000"/>
      <name val="Tahoma"/>
      <family val="2"/>
      <charset val="238"/>
    </font>
    <font>
      <b/>
      <sz val="11"/>
      <color rgb="FFFF0000"/>
      <name val="Calibri"/>
      <family val="2"/>
      <charset val="238"/>
      <scheme val="minor"/>
    </font>
    <font>
      <b/>
      <sz val="12"/>
      <color rgb="FF00BEB4"/>
      <name val="Calibri"/>
      <family val="2"/>
      <charset val="238"/>
    </font>
    <font>
      <b/>
      <sz val="12"/>
      <color rgb="FF69747A"/>
      <name val="Calibri"/>
      <family val="2"/>
      <charset val="238"/>
    </font>
    <font>
      <sz val="12"/>
      <color rgb="FF69747A"/>
      <name val="Calibri"/>
      <family val="2"/>
      <charset val="238"/>
    </font>
    <font>
      <sz val="12"/>
      <color theme="1"/>
      <name val="Tahoma"/>
      <family val="2"/>
      <charset val="238"/>
    </font>
    <font>
      <b/>
      <sz val="14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2"/>
      <color theme="1"/>
      <name val="Tahoma"/>
      <family val="2"/>
      <charset val="238"/>
    </font>
    <font>
      <b/>
      <sz val="12"/>
      <name val="Tahoma"/>
      <family val="2"/>
      <charset val="238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Arial"/>
      <family val="2"/>
      <charset val="238"/>
    </font>
    <font>
      <b/>
      <sz val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8"/>
      <color indexed="62"/>
      <name val="Arial"/>
      <family val="2"/>
    </font>
    <font>
      <sz val="8"/>
      <color rgb="FF1F497D"/>
      <name val="Verdana"/>
      <family val="2"/>
      <charset val="238"/>
    </font>
    <font>
      <sz val="8"/>
      <name val="Calibri"/>
      <family val="2"/>
      <charset val="238"/>
      <scheme val="minor"/>
    </font>
    <font>
      <sz val="9"/>
      <color theme="1"/>
      <name val="Tahoma"/>
      <family val="2"/>
      <charset val="238"/>
    </font>
    <font>
      <sz val="9"/>
      <color rgb="FF333333"/>
      <name val="Tahoma"/>
      <family val="2"/>
      <charset val="238"/>
    </font>
  </fonts>
  <fills count="6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9"/>
      </patternFill>
    </fill>
    <fill>
      <patternFill patternType="solid">
        <fgColor indexed="60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1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18"/>
        <bgColor indexed="18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  <b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theme="0"/>
        <bgColor rgb="FF0000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22">
    <xf numFmtId="0" fontId="0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1" fillId="0" borderId="0"/>
    <xf numFmtId="0" fontId="24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1" fillId="0" borderId="0"/>
    <xf numFmtId="4" fontId="25" fillId="10" borderId="7" applyNumberFormat="0" applyProtection="0">
      <alignment horizontal="left" vertical="center" indent="1"/>
    </xf>
    <xf numFmtId="4" fontId="25" fillId="10" borderId="7" applyNumberFormat="0" applyProtection="0">
      <alignment horizontal="left" vertical="center" indent="1"/>
    </xf>
    <xf numFmtId="0" fontId="26" fillId="11" borderId="0"/>
    <xf numFmtId="0" fontId="33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3" fillId="22" borderId="0" applyNumberFormat="0" applyBorder="0" applyAlignment="0" applyProtection="0"/>
    <xf numFmtId="0" fontId="33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4" fillId="24" borderId="0" applyNumberFormat="0" applyBorder="0" applyAlignment="0" applyProtection="0"/>
    <xf numFmtId="0" fontId="34" fillId="32" borderId="0" applyNumberFormat="0" applyBorder="0" applyAlignment="0" applyProtection="0"/>
    <xf numFmtId="0" fontId="33" fillId="25" borderId="0" applyNumberFormat="0" applyBorder="0" applyAlignment="0" applyProtection="0"/>
    <xf numFmtId="0" fontId="33" fillId="22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3" fillId="22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3" fillId="38" borderId="0" applyNumberFormat="0" applyBorder="0" applyAlignment="0" applyProtection="0"/>
    <xf numFmtId="0" fontId="35" fillId="36" borderId="0" applyNumberFormat="0" applyBorder="0" applyAlignment="0" applyProtection="0"/>
    <xf numFmtId="0" fontId="36" fillId="39" borderId="7" applyNumberFormat="0" applyAlignment="0" applyProtection="0"/>
    <xf numFmtId="0" fontId="37" fillId="31" borderId="8" applyNumberFormat="0" applyAlignment="0" applyProtection="0"/>
    <xf numFmtId="0" fontId="38" fillId="40" borderId="0" applyNumberFormat="0" applyBorder="0" applyAlignment="0" applyProtection="0"/>
    <xf numFmtId="0" fontId="38" fillId="41" borderId="0" applyNumberFormat="0" applyBorder="0" applyAlignment="0" applyProtection="0"/>
    <xf numFmtId="0" fontId="38" fillId="42" borderId="0" applyNumberFormat="0" applyBorder="0" applyAlignment="0" applyProtection="0"/>
    <xf numFmtId="0" fontId="34" fillId="29" borderId="0" applyNumberFormat="0" applyBorder="0" applyAlignment="0" applyProtection="0"/>
    <xf numFmtId="0" fontId="39" fillId="0" borderId="9" applyNumberFormat="0" applyFill="0" applyAlignment="0" applyProtection="0"/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1" fillId="0" borderId="0" applyNumberFormat="0" applyFill="0" applyBorder="0" applyAlignment="0" applyProtection="0"/>
    <xf numFmtId="0" fontId="42" fillId="37" borderId="7" applyNumberFormat="0" applyAlignment="0" applyProtection="0"/>
    <xf numFmtId="0" fontId="43" fillId="0" borderId="12" applyNumberFormat="0" applyFill="0" applyAlignment="0" applyProtection="0"/>
    <xf numFmtId="0" fontId="43" fillId="37" borderId="0" applyNumberFormat="0" applyBorder="0" applyAlignment="0" applyProtection="0"/>
    <xf numFmtId="0" fontId="25" fillId="36" borderId="7" applyNumberFormat="0" applyFont="0" applyAlignment="0" applyProtection="0"/>
    <xf numFmtId="0" fontId="44" fillId="39" borderId="13" applyNumberFormat="0" applyAlignment="0" applyProtection="0"/>
    <xf numFmtId="4" fontId="25" fillId="43" borderId="7" applyNumberFormat="0" applyProtection="0">
      <alignment vertical="center"/>
    </xf>
    <xf numFmtId="4" fontId="47" fillId="44" borderId="7" applyNumberFormat="0" applyProtection="0">
      <alignment vertical="center"/>
    </xf>
    <xf numFmtId="4" fontId="25" fillId="44" borderId="7" applyNumberFormat="0" applyProtection="0">
      <alignment horizontal="left" vertical="center" indent="1"/>
    </xf>
    <xf numFmtId="0" fontId="30" fillId="43" borderId="14" applyNumberFormat="0" applyProtection="0">
      <alignment horizontal="left" vertical="top" indent="1"/>
    </xf>
    <xf numFmtId="4" fontId="25" fillId="45" borderId="7" applyNumberFormat="0" applyProtection="0">
      <alignment horizontal="right" vertical="center"/>
    </xf>
    <xf numFmtId="4" fontId="25" fillId="46" borderId="7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18" borderId="7" applyNumberFormat="0" applyProtection="0">
      <alignment horizontal="right" vertical="center"/>
    </xf>
    <xf numFmtId="4" fontId="25" fillId="48" borderId="7" applyNumberFormat="0" applyProtection="0">
      <alignment horizontal="right" vertical="center"/>
    </xf>
    <xf numFmtId="4" fontId="25" fillId="49" borderId="7" applyNumberFormat="0" applyProtection="0">
      <alignment horizontal="right" vertical="center"/>
    </xf>
    <xf numFmtId="4" fontId="25" fillId="16" borderId="7" applyNumberFormat="0" applyProtection="0">
      <alignment horizontal="right" vertical="center"/>
    </xf>
    <xf numFmtId="4" fontId="25" fillId="13" borderId="7" applyNumberFormat="0" applyProtection="0">
      <alignment horizontal="right" vertical="center"/>
    </xf>
    <xf numFmtId="4" fontId="25" fillId="50" borderId="7" applyNumberFormat="0" applyProtection="0">
      <alignment horizontal="right" vertical="center"/>
    </xf>
    <xf numFmtId="4" fontId="25" fillId="51" borderId="15" applyNumberFormat="0" applyProtection="0">
      <alignment horizontal="left" vertical="center" indent="1"/>
    </xf>
    <xf numFmtId="4" fontId="29" fillId="17" borderId="15" applyNumberFormat="0" applyProtection="0">
      <alignment horizontal="left" vertical="center" indent="1"/>
    </xf>
    <xf numFmtId="4" fontId="29" fillId="17" borderId="15" applyNumberFormat="0" applyProtection="0">
      <alignment horizontal="left" vertical="center" indent="1"/>
    </xf>
    <xf numFmtId="4" fontId="25" fillId="12" borderId="7" applyNumberFormat="0" applyProtection="0">
      <alignment horizontal="right" vertical="center"/>
    </xf>
    <xf numFmtId="4" fontId="25" fillId="14" borderId="15" applyNumberFormat="0" applyProtection="0">
      <alignment horizontal="left" vertical="center" indent="1"/>
    </xf>
    <xf numFmtId="4" fontId="25" fillId="12" borderId="15" applyNumberFormat="0" applyProtection="0">
      <alignment horizontal="left" vertical="center" indent="1"/>
    </xf>
    <xf numFmtId="0" fontId="25" fillId="15" borderId="7" applyNumberFormat="0" applyProtection="0">
      <alignment horizontal="left" vertical="center" indent="1"/>
    </xf>
    <xf numFmtId="0" fontId="25" fillId="17" borderId="14" applyNumberFormat="0" applyProtection="0">
      <alignment horizontal="left" vertical="top" indent="1"/>
    </xf>
    <xf numFmtId="0" fontId="25" fillId="52" borderId="7" applyNumberFormat="0" applyProtection="0">
      <alignment horizontal="left" vertical="center" indent="1"/>
    </xf>
    <xf numFmtId="0" fontId="25" fillId="12" borderId="14" applyNumberFormat="0" applyProtection="0">
      <alignment horizontal="left" vertical="top" indent="1"/>
    </xf>
    <xf numFmtId="0" fontId="25" fillId="53" borderId="7" applyNumberFormat="0" applyProtection="0">
      <alignment horizontal="left" vertical="center" indent="1"/>
    </xf>
    <xf numFmtId="0" fontId="25" fillId="53" borderId="14" applyNumberFormat="0" applyProtection="0">
      <alignment horizontal="left" vertical="top" indent="1"/>
    </xf>
    <xf numFmtId="0" fontId="25" fillId="14" borderId="7" applyNumberFormat="0" applyProtection="0">
      <alignment horizontal="left" vertical="center" indent="1"/>
    </xf>
    <xf numFmtId="0" fontId="25" fillId="14" borderId="14" applyNumberFormat="0" applyProtection="0">
      <alignment horizontal="left" vertical="top" indent="1"/>
    </xf>
    <xf numFmtId="0" fontId="25" fillId="54" borderId="16" applyNumberFormat="0">
      <protection locked="0"/>
    </xf>
    <xf numFmtId="0" fontId="27" fillId="17" borderId="17" applyBorder="0"/>
    <xf numFmtId="4" fontId="28" fillId="55" borderId="14" applyNumberFormat="0" applyProtection="0">
      <alignment vertical="center"/>
    </xf>
    <xf numFmtId="4" fontId="47" fillId="56" borderId="1" applyNumberFormat="0" applyProtection="0">
      <alignment vertical="center"/>
    </xf>
    <xf numFmtId="4" fontId="28" fillId="15" borderId="14" applyNumberFormat="0" applyProtection="0">
      <alignment horizontal="left" vertical="center" indent="1"/>
    </xf>
    <xf numFmtId="0" fontId="28" fillId="55" borderId="14" applyNumberFormat="0" applyProtection="0">
      <alignment horizontal="left" vertical="top" indent="1"/>
    </xf>
    <xf numFmtId="4" fontId="25" fillId="0" borderId="7" applyNumberFormat="0" applyProtection="0">
      <alignment horizontal="right" vertical="center"/>
    </xf>
    <xf numFmtId="4" fontId="47" fillId="57" borderId="7" applyNumberFormat="0" applyProtection="0">
      <alignment horizontal="right" vertical="center"/>
    </xf>
    <xf numFmtId="0" fontId="28" fillId="12" borderId="14" applyNumberFormat="0" applyProtection="0">
      <alignment horizontal="left" vertical="top" indent="1"/>
    </xf>
    <xf numFmtId="4" fontId="31" fillId="58" borderId="15" applyNumberFormat="0" applyProtection="0">
      <alignment horizontal="left" vertical="center" indent="1"/>
    </xf>
    <xf numFmtId="0" fontId="25" fillId="59" borderId="1"/>
    <xf numFmtId="4" fontId="32" fillId="54" borderId="7" applyNumberFormat="0" applyProtection="0">
      <alignment horizontal="right" vertical="center"/>
    </xf>
    <xf numFmtId="0" fontId="45" fillId="0" borderId="0" applyNumberFormat="0" applyFill="0" applyBorder="0" applyAlignment="0" applyProtection="0"/>
    <xf numFmtId="0" fontId="38" fillId="0" borderId="18" applyNumberFormat="0" applyFill="0" applyAlignment="0" applyProtection="0"/>
    <xf numFmtId="0" fontId="46" fillId="0" borderId="0" applyNumberFormat="0" applyFill="0" applyBorder="0" applyAlignment="0" applyProtection="0"/>
    <xf numFmtId="0" fontId="26" fillId="11" borderId="0"/>
    <xf numFmtId="0" fontId="33" fillId="19" borderId="0" applyNumberFormat="0" applyBorder="0" applyAlignment="0" applyProtection="0"/>
    <xf numFmtId="0" fontId="33" fillId="23" borderId="0" applyNumberFormat="0" applyBorder="0" applyAlignment="0" applyProtection="0"/>
    <xf numFmtId="0" fontId="33" fillId="27" borderId="0" applyNumberFormat="0" applyBorder="0" applyAlignment="0" applyProtection="0"/>
    <xf numFmtId="0" fontId="33" fillId="31" borderId="0" applyNumberFormat="0" applyBorder="0" applyAlignment="0" applyProtection="0"/>
    <xf numFmtId="0" fontId="33" fillId="22" borderId="0" applyNumberFormat="0" applyBorder="0" applyAlignment="0" applyProtection="0"/>
    <xf numFmtId="0" fontId="33" fillId="35" borderId="0" applyNumberFormat="0" applyBorder="0" applyAlignment="0" applyProtection="0"/>
    <xf numFmtId="4" fontId="47" fillId="56" borderId="1" applyNumberFormat="0" applyProtection="0">
      <alignment vertical="center"/>
    </xf>
    <xf numFmtId="0" fontId="25" fillId="59" borderId="1"/>
    <xf numFmtId="0" fontId="33" fillId="19" borderId="0" applyNumberFormat="0" applyBorder="0" applyAlignment="0" applyProtection="0"/>
    <xf numFmtId="0" fontId="33" fillId="23" borderId="0" applyNumberFormat="0" applyBorder="0" applyAlignment="0" applyProtection="0"/>
    <xf numFmtId="0" fontId="33" fillId="27" borderId="0" applyNumberFormat="0" applyBorder="0" applyAlignment="0" applyProtection="0"/>
    <xf numFmtId="0" fontId="33" fillId="31" borderId="0" applyNumberFormat="0" applyBorder="0" applyAlignment="0" applyProtection="0"/>
    <xf numFmtId="0" fontId="33" fillId="22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22" borderId="0" applyNumberFormat="0" applyBorder="0" applyAlignment="0" applyProtection="0"/>
    <xf numFmtId="0" fontId="33" fillId="31" borderId="0" applyNumberFormat="0" applyBorder="0" applyAlignment="0" applyProtection="0"/>
    <xf numFmtId="0" fontId="33" fillId="27" borderId="0" applyNumberFormat="0" applyBorder="0" applyAlignment="0" applyProtection="0"/>
    <xf numFmtId="0" fontId="33" fillId="23" borderId="0" applyNumberFormat="0" applyBorder="0" applyAlignment="0" applyProtection="0"/>
    <xf numFmtId="0" fontId="33" fillId="19" borderId="0" applyNumberFormat="0" applyBorder="0" applyAlignment="0" applyProtection="0"/>
    <xf numFmtId="0" fontId="7" fillId="0" borderId="0"/>
    <xf numFmtId="164" fontId="48" fillId="0" borderId="19" applyNumberFormat="0" applyProtection="0">
      <alignment horizontal="right" vertical="center"/>
    </xf>
  </cellStyleXfs>
  <cellXfs count="124">
    <xf numFmtId="0" fontId="0" fillId="0" borderId="0" xfId="0"/>
    <xf numFmtId="0" fontId="19" fillId="0" borderId="1" xfId="0" applyFont="1" applyFill="1" applyBorder="1" applyAlignment="1">
      <alignment horizontal="center" vertical="center"/>
    </xf>
    <xf numFmtId="0" fontId="0" fillId="0" borderId="0" xfId="0" applyProtection="1"/>
    <xf numFmtId="0" fontId="2" fillId="0" borderId="0" xfId="0" applyFont="1" applyAlignment="1" applyProtection="1">
      <alignment horizontal="center" vertical="center"/>
    </xf>
    <xf numFmtId="0" fontId="0" fillId="0" borderId="0" xfId="0" applyBorder="1" applyProtection="1"/>
    <xf numFmtId="0" fontId="0" fillId="0" borderId="0" xfId="0" applyAlignment="1" applyProtection="1"/>
    <xf numFmtId="0" fontId="16" fillId="0" borderId="0" xfId="0" applyFont="1" applyBorder="1" applyAlignment="1" applyProtection="1">
      <alignment horizontal="center" vertical="center" readingOrder="1"/>
    </xf>
    <xf numFmtId="0" fontId="3" fillId="2" borderId="0" xfId="0" applyFont="1" applyFill="1" applyAlignment="1" applyProtection="1">
      <alignment horizontal="left" vertical="center"/>
    </xf>
    <xf numFmtId="0" fontId="3" fillId="2" borderId="0" xfId="0" applyFont="1" applyFill="1" applyAlignment="1" applyProtection="1">
      <alignment horizontal="center" vertical="center"/>
    </xf>
    <xf numFmtId="0" fontId="17" fillId="0" borderId="0" xfId="0" applyFont="1" applyBorder="1" applyAlignment="1" applyProtection="1">
      <alignment horizontal="center" vertical="center" readingOrder="1"/>
    </xf>
    <xf numFmtId="0" fontId="17" fillId="0" borderId="0" xfId="0" applyFont="1" applyBorder="1" applyAlignment="1" applyProtection="1">
      <alignment horizontal="left" vertical="center" readingOrder="1"/>
    </xf>
    <xf numFmtId="0" fontId="4" fillId="2" borderId="0" xfId="0" applyFont="1" applyFill="1" applyAlignment="1" applyProtection="1">
      <alignment vertical="center"/>
    </xf>
    <xf numFmtId="0" fontId="2" fillId="3" borderId="0" xfId="0" applyFont="1" applyFill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left"/>
    </xf>
    <xf numFmtId="0" fontId="4" fillId="0" borderId="1" xfId="0" applyFont="1" applyFill="1" applyBorder="1" applyAlignment="1" applyProtection="1">
      <alignment vertical="center"/>
    </xf>
    <xf numFmtId="0" fontId="4" fillId="0" borderId="1" xfId="0" applyFont="1" applyFill="1" applyBorder="1" applyProtection="1"/>
    <xf numFmtId="0" fontId="18" fillId="0" borderId="0" xfId="0" applyFont="1" applyBorder="1" applyAlignment="1" applyProtection="1">
      <alignment horizontal="center" vertical="center" readingOrder="1"/>
    </xf>
    <xf numFmtId="0" fontId="18" fillId="0" borderId="0" xfId="0" applyFont="1" applyBorder="1" applyAlignment="1" applyProtection="1">
      <alignment horizontal="left" vertical="center" readingOrder="1"/>
    </xf>
    <xf numFmtId="1" fontId="6" fillId="0" borderId="1" xfId="1" applyNumberFormat="1" applyFont="1" applyFill="1" applyBorder="1" applyAlignment="1" applyProtection="1">
      <alignment horizontal="left" vertical="center"/>
    </xf>
    <xf numFmtId="0" fontId="6" fillId="0" borderId="1" xfId="1" applyFont="1" applyFill="1" applyBorder="1" applyAlignment="1" applyProtection="1">
      <alignment horizontal="left" vertical="center"/>
    </xf>
    <xf numFmtId="0" fontId="1" fillId="0" borderId="1" xfId="0" applyFont="1" applyFill="1" applyBorder="1" applyProtection="1"/>
    <xf numFmtId="0" fontId="6" fillId="0" borderId="1" xfId="2" applyFont="1" applyFill="1" applyBorder="1" applyAlignment="1" applyProtection="1">
      <alignment horizontal="left"/>
    </xf>
    <xf numFmtId="0" fontId="2" fillId="0" borderId="0" xfId="0" applyFont="1" applyFill="1" applyAlignment="1" applyProtection="1">
      <alignment horizontal="center" vertical="center"/>
    </xf>
    <xf numFmtId="0" fontId="6" fillId="0" borderId="0" xfId="1" applyFont="1" applyFill="1" applyBorder="1" applyAlignment="1" applyProtection="1">
      <alignment horizontal="left" vertical="center"/>
    </xf>
    <xf numFmtId="4" fontId="6" fillId="0" borderId="0" xfId="1" applyNumberFormat="1" applyFont="1" applyFill="1" applyBorder="1" applyAlignment="1" applyProtection="1">
      <alignment horizontal="left" vertical="center"/>
    </xf>
    <xf numFmtId="0" fontId="8" fillId="0" borderId="0" xfId="3" applyFont="1" applyFill="1" applyAlignment="1" applyProtection="1">
      <alignment horizontal="left" vertical="center"/>
    </xf>
    <xf numFmtId="0" fontId="6" fillId="0" borderId="0" xfId="1" applyFont="1" applyFill="1" applyAlignment="1" applyProtection="1">
      <alignment horizontal="left" vertical="center"/>
    </xf>
    <xf numFmtId="0" fontId="6" fillId="0" borderId="0" xfId="3" applyFont="1" applyFill="1" applyBorder="1" applyAlignment="1" applyProtection="1">
      <alignment horizontal="left" vertical="center"/>
    </xf>
    <xf numFmtId="0" fontId="6" fillId="0" borderId="1" xfId="0" applyFont="1" applyFill="1" applyBorder="1" applyAlignment="1" applyProtection="1">
      <alignment horizontal="left" vertical="center"/>
    </xf>
    <xf numFmtId="0" fontId="4" fillId="0" borderId="1" xfId="0" applyFont="1" applyFill="1" applyBorder="1" applyAlignment="1" applyProtection="1">
      <alignment horizontal="left" vertical="center"/>
    </xf>
    <xf numFmtId="0" fontId="6" fillId="0" borderId="1" xfId="2" applyFont="1" applyFill="1" applyBorder="1" applyAlignment="1" applyProtection="1">
      <alignment horizontal="left" vertical="center"/>
    </xf>
    <xf numFmtId="4" fontId="6" fillId="0" borderId="1" xfId="3" applyNumberFormat="1" applyFont="1" applyFill="1" applyBorder="1" applyAlignment="1" applyProtection="1">
      <alignment horizontal="left" vertical="center"/>
    </xf>
    <xf numFmtId="1" fontId="6" fillId="0" borderId="1" xfId="4" applyNumberFormat="1" applyFont="1" applyFill="1" applyBorder="1" applyAlignment="1" applyProtection="1">
      <alignment horizontal="left" vertical="center"/>
    </xf>
    <xf numFmtId="0" fontId="6" fillId="0" borderId="1" xfId="4" applyFont="1" applyFill="1" applyBorder="1" applyAlignment="1" applyProtection="1">
      <alignment horizontal="left" vertical="center"/>
    </xf>
    <xf numFmtId="0" fontId="10" fillId="0" borderId="1" xfId="0" applyFont="1" applyFill="1" applyBorder="1" applyAlignment="1" applyProtection="1">
      <alignment vertical="center"/>
    </xf>
    <xf numFmtId="0" fontId="2" fillId="0" borderId="0" xfId="0" applyFont="1" applyFill="1" applyAlignment="1" applyProtection="1">
      <alignment horizontal="center"/>
    </xf>
    <xf numFmtId="0" fontId="6" fillId="0" borderId="0" xfId="6" applyFont="1" applyFill="1" applyBorder="1" applyAlignment="1" applyProtection="1">
      <alignment horizontal="left"/>
    </xf>
    <xf numFmtId="0" fontId="12" fillId="0" borderId="0" xfId="0" applyFont="1" applyFill="1" applyBorder="1" applyAlignment="1" applyProtection="1">
      <alignment horizontal="left" vertical="center"/>
    </xf>
    <xf numFmtId="0" fontId="6" fillId="0" borderId="0" xfId="6" applyFont="1" applyFill="1" applyBorder="1" applyAlignment="1" applyProtection="1"/>
    <xf numFmtId="0" fontId="0" fillId="0" borderId="0" xfId="0" applyFill="1" applyProtection="1"/>
    <xf numFmtId="0" fontId="8" fillId="0" borderId="0" xfId="1" applyFont="1" applyFill="1" applyBorder="1" applyAlignment="1" applyProtection="1">
      <alignment horizontal="left" vertical="center"/>
    </xf>
    <xf numFmtId="0" fontId="4" fillId="4" borderId="1" xfId="0" applyFont="1" applyFill="1" applyBorder="1" applyAlignment="1" applyProtection="1">
      <alignment horizontal="left" vertical="center"/>
    </xf>
    <xf numFmtId="0" fontId="4" fillId="4" borderId="1" xfId="0" applyFont="1" applyFill="1" applyBorder="1" applyAlignment="1" applyProtection="1">
      <alignment vertical="center"/>
    </xf>
    <xf numFmtId="0" fontId="4" fillId="0" borderId="0" xfId="0" applyFont="1" applyFill="1" applyAlignment="1" applyProtection="1">
      <alignment horizontal="left" vertical="center"/>
    </xf>
    <xf numFmtId="0" fontId="6" fillId="0" borderId="1" xfId="5" applyFont="1" applyFill="1" applyBorder="1" applyAlignment="1" applyProtection="1">
      <alignment horizontal="left" vertical="center"/>
    </xf>
    <xf numFmtId="0" fontId="0" fillId="0" borderId="1" xfId="0" applyBorder="1" applyAlignment="1" applyProtection="1">
      <alignment horizontal="left"/>
    </xf>
    <xf numFmtId="0" fontId="0" fillId="0" borderId="1" xfId="0" applyBorder="1" applyProtection="1"/>
    <xf numFmtId="0" fontId="2" fillId="0" borderId="0" xfId="0" applyFont="1" applyAlignment="1" applyProtection="1">
      <alignment horizontal="center"/>
    </xf>
    <xf numFmtId="0" fontId="13" fillId="0" borderId="0" xfId="6" applyFont="1" applyFill="1" applyBorder="1" applyAlignment="1" applyProtection="1">
      <alignment horizontal="left"/>
    </xf>
    <xf numFmtId="0" fontId="14" fillId="0" borderId="0" xfId="0" applyFont="1" applyFill="1" applyBorder="1" applyProtection="1"/>
    <xf numFmtId="0" fontId="13" fillId="0" borderId="0" xfId="6" applyFont="1" applyFill="1" applyBorder="1" applyAlignment="1" applyProtection="1"/>
    <xf numFmtId="0" fontId="15" fillId="0" borderId="0" xfId="0" applyFont="1" applyFill="1" applyAlignment="1" applyProtection="1">
      <alignment horizontal="center"/>
    </xf>
    <xf numFmtId="0" fontId="11" fillId="0" borderId="0" xfId="0" applyFont="1" applyFill="1" applyProtection="1"/>
    <xf numFmtId="0" fontId="8" fillId="0" borderId="0" xfId="1" applyFont="1" applyFill="1" applyAlignment="1" applyProtection="1">
      <alignment horizontal="left" vertical="center"/>
    </xf>
    <xf numFmtId="0" fontId="6" fillId="0" borderId="1" xfId="0" applyFont="1" applyFill="1" applyBorder="1" applyAlignment="1" applyProtection="1">
      <alignment horizontal="left"/>
    </xf>
    <xf numFmtId="0" fontId="8" fillId="0" borderId="0" xfId="3" applyFont="1" applyFill="1" applyBorder="1" applyAlignment="1" applyProtection="1">
      <alignment horizontal="left" vertical="center"/>
    </xf>
    <xf numFmtId="1" fontId="9" fillId="0" borderId="1" xfId="0" applyNumberFormat="1" applyFont="1" applyFill="1" applyBorder="1" applyAlignment="1" applyProtection="1">
      <alignment horizontal="left" vertical="center"/>
    </xf>
    <xf numFmtId="1" fontId="6" fillId="0" borderId="1" xfId="0" applyNumberFormat="1" applyFont="1" applyFill="1" applyBorder="1" applyAlignment="1" applyProtection="1">
      <alignment horizontal="left" vertical="center"/>
    </xf>
    <xf numFmtId="1" fontId="6" fillId="0" borderId="1" xfId="0" applyNumberFormat="1" applyFont="1" applyFill="1" applyBorder="1" applyAlignment="1" applyProtection="1">
      <alignment horizontal="left"/>
    </xf>
    <xf numFmtId="0" fontId="6" fillId="0" borderId="2" xfId="0" applyFont="1" applyFill="1" applyBorder="1" applyProtection="1"/>
    <xf numFmtId="1" fontId="6" fillId="0" borderId="1" xfId="5" applyNumberFormat="1" applyFont="1" applyFill="1" applyBorder="1" applyAlignment="1" applyProtection="1">
      <alignment horizontal="left" vertical="center"/>
    </xf>
    <xf numFmtId="0" fontId="10" fillId="4" borderId="1" xfId="0" applyFont="1" applyFill="1" applyBorder="1" applyAlignment="1" applyProtection="1">
      <alignment vertical="center"/>
    </xf>
    <xf numFmtId="1" fontId="6" fillId="0" borderId="5" xfId="4" applyNumberFormat="1" applyFont="1" applyFill="1" applyBorder="1" applyAlignment="1" applyProtection="1">
      <alignment horizontal="left" vertical="center"/>
    </xf>
    <xf numFmtId="0" fontId="6" fillId="0" borderId="5" xfId="4" applyFont="1" applyFill="1" applyBorder="1" applyAlignment="1" applyProtection="1">
      <alignment horizontal="left" vertical="center"/>
    </xf>
    <xf numFmtId="1" fontId="6" fillId="0" borderId="0" xfId="4" applyNumberFormat="1" applyFont="1" applyFill="1" applyBorder="1" applyAlignment="1" applyProtection="1">
      <alignment horizontal="left" vertical="center"/>
    </xf>
    <xf numFmtId="0" fontId="6" fillId="0" borderId="0" xfId="4" applyFont="1" applyFill="1" applyBorder="1" applyAlignment="1" applyProtection="1">
      <alignment horizontal="left" vertical="center"/>
    </xf>
    <xf numFmtId="0" fontId="10" fillId="0" borderId="6" xfId="0" applyFont="1" applyFill="1" applyBorder="1" applyAlignment="1" applyProtection="1">
      <alignment horizontal="left" vertical="center"/>
    </xf>
    <xf numFmtId="0" fontId="10" fillId="0" borderId="6" xfId="0" applyFont="1" applyFill="1" applyBorder="1" applyAlignment="1" applyProtection="1">
      <alignment vertical="center"/>
    </xf>
    <xf numFmtId="0" fontId="2" fillId="0" borderId="0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left" vertical="center"/>
    </xf>
    <xf numFmtId="4" fontId="6" fillId="0" borderId="1" xfId="1" applyNumberFormat="1" applyFont="1" applyFill="1" applyBorder="1" applyAlignment="1" applyProtection="1">
      <alignment horizontal="left" vertical="center"/>
    </xf>
    <xf numFmtId="0" fontId="6" fillId="0" borderId="3" xfId="0" applyFont="1" applyFill="1" applyBorder="1" applyAlignment="1" applyProtection="1">
      <alignment horizontal="left" vertical="center"/>
    </xf>
    <xf numFmtId="0" fontId="6" fillId="0" borderId="4" xfId="0" applyFont="1" applyFill="1" applyBorder="1" applyAlignment="1" applyProtection="1">
      <alignment horizontal="left" vertical="center"/>
    </xf>
    <xf numFmtId="0" fontId="6" fillId="0" borderId="1" xfId="0" applyFont="1" applyFill="1" applyBorder="1" applyProtection="1"/>
    <xf numFmtId="0" fontId="2" fillId="0" borderId="0" xfId="0" applyFont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vertical="center"/>
    </xf>
    <xf numFmtId="0" fontId="6" fillId="0" borderId="1" xfId="0" applyFont="1" applyFill="1" applyBorder="1" applyAlignment="1" applyProtection="1">
      <alignment horizontal="left" vertical="center" wrapText="1"/>
    </xf>
    <xf numFmtId="0" fontId="6" fillId="0" borderId="0" xfId="2" applyFont="1" applyFill="1" applyBorder="1" applyAlignment="1" applyProtection="1">
      <alignment horizontal="left"/>
    </xf>
    <xf numFmtId="0" fontId="12" fillId="0" borderId="0" xfId="0" applyFont="1" applyFill="1" applyBorder="1" applyProtection="1"/>
    <xf numFmtId="0" fontId="4" fillId="0" borderId="0" xfId="0" applyFont="1" applyFill="1" applyBorder="1" applyProtection="1"/>
    <xf numFmtId="0" fontId="8" fillId="0" borderId="0" xfId="5" applyFont="1" applyFill="1" applyBorder="1" applyAlignment="1" applyProtection="1">
      <alignment horizontal="left" vertical="center"/>
    </xf>
    <xf numFmtId="4" fontId="9" fillId="0" borderId="1" xfId="1" applyNumberFormat="1" applyFont="1" applyFill="1" applyBorder="1" applyAlignment="1" applyProtection="1">
      <alignment horizontal="left" vertical="center"/>
    </xf>
    <xf numFmtId="0" fontId="8" fillId="0" borderId="0" xfId="4" applyFont="1" applyFill="1" applyBorder="1" applyAlignment="1" applyProtection="1">
      <alignment horizontal="left" vertical="center"/>
    </xf>
    <xf numFmtId="4" fontId="6" fillId="0" borderId="0" xfId="4" applyNumberFormat="1" applyFont="1" applyFill="1" applyBorder="1" applyAlignment="1" applyProtection="1">
      <alignment horizontal="left" vertical="center"/>
    </xf>
    <xf numFmtId="4" fontId="6" fillId="0" borderId="1" xfId="1" applyNumberFormat="1" applyFont="1" applyFill="1" applyBorder="1" applyAlignment="1" applyProtection="1">
      <alignment horizontal="left" vertical="center" wrapText="1"/>
    </xf>
    <xf numFmtId="0" fontId="3" fillId="0" borderId="0" xfId="0" applyFont="1" applyFill="1" applyAlignment="1" applyProtection="1">
      <alignment horizontal="left" vertical="center"/>
    </xf>
    <xf numFmtId="0" fontId="4" fillId="0" borderId="1" xfId="0" quotePrefix="1" applyFont="1" applyFill="1" applyBorder="1" applyAlignment="1" applyProtection="1">
      <alignment horizontal="left" vertical="center" wrapText="1"/>
    </xf>
    <xf numFmtId="4" fontId="6" fillId="0" borderId="1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 applyProtection="1">
      <alignment horizontal="left" vertical="center" wrapText="1"/>
    </xf>
    <xf numFmtId="0" fontId="2" fillId="0" borderId="0" xfId="0" applyFont="1" applyAlignment="1" applyProtection="1"/>
    <xf numFmtId="0" fontId="20" fillId="3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center"/>
    </xf>
    <xf numFmtId="0" fontId="20" fillId="7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3" fillId="5" borderId="20" xfId="6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vertical="center"/>
    </xf>
    <xf numFmtId="0" fontId="12" fillId="0" borderId="1" xfId="0" applyFont="1" applyFill="1" applyBorder="1" applyProtection="1"/>
    <xf numFmtId="0" fontId="4" fillId="0" borderId="1" xfId="0" applyFont="1" applyFill="1" applyBorder="1" applyAlignment="1" applyProtection="1"/>
    <xf numFmtId="1" fontId="6" fillId="0" borderId="1" xfId="6" applyNumberFormat="1" applyFont="1" applyFill="1" applyBorder="1" applyAlignment="1" applyProtection="1">
      <alignment horizontal="left"/>
    </xf>
    <xf numFmtId="0" fontId="12" fillId="0" borderId="1" xfId="0" applyFont="1" applyFill="1" applyBorder="1" applyAlignment="1" applyProtection="1">
      <alignment horizontal="left" vertical="center"/>
    </xf>
    <xf numFmtId="0" fontId="6" fillId="0" borderId="1" xfId="6" applyFont="1" applyFill="1" applyBorder="1" applyAlignment="1" applyProtection="1">
      <alignment vertical="center"/>
    </xf>
    <xf numFmtId="0" fontId="6" fillId="0" borderId="1" xfId="6" applyFont="1" applyFill="1" applyBorder="1" applyAlignment="1" applyProtection="1">
      <alignment horizontal="left"/>
    </xf>
    <xf numFmtId="0" fontId="6" fillId="0" borderId="1" xfId="6" applyFont="1" applyFill="1" applyBorder="1" applyAlignment="1" applyProtection="1"/>
    <xf numFmtId="0" fontId="6" fillId="0" borderId="1" xfId="6" applyFont="1" applyFill="1" applyBorder="1" applyAlignment="1" applyProtection="1">
      <alignment horizontal="left" vertical="center"/>
    </xf>
    <xf numFmtId="0" fontId="6" fillId="2" borderId="1" xfId="1" applyFont="1" applyFill="1" applyBorder="1" applyAlignment="1" applyProtection="1">
      <alignment horizontal="left" vertical="center"/>
    </xf>
    <xf numFmtId="4" fontId="6" fillId="2" borderId="1" xfId="1" applyNumberFormat="1" applyFont="1" applyFill="1" applyBorder="1" applyAlignment="1" applyProtection="1">
      <alignment horizontal="left" vertical="center" wrapText="1"/>
    </xf>
    <xf numFmtId="0" fontId="6" fillId="2" borderId="1" xfId="0" applyFont="1" applyFill="1" applyBorder="1" applyAlignment="1" applyProtection="1">
      <alignment horizontal="left" vertical="center"/>
    </xf>
    <xf numFmtId="0" fontId="4" fillId="2" borderId="1" xfId="0" quotePrefix="1" applyFont="1" applyFill="1" applyBorder="1" applyAlignment="1" applyProtection="1">
      <alignment horizontal="left" vertical="center" wrapText="1"/>
    </xf>
    <xf numFmtId="0" fontId="10" fillId="2" borderId="1" xfId="0" applyFont="1" applyFill="1" applyBorder="1" applyAlignment="1" applyProtection="1">
      <alignment horizontal="left" vertical="center"/>
    </xf>
    <xf numFmtId="1" fontId="6" fillId="2" borderId="1" xfId="6" applyNumberFormat="1" applyFont="1" applyFill="1" applyBorder="1" applyAlignment="1" applyProtection="1">
      <alignment horizontal="left"/>
    </xf>
    <xf numFmtId="0" fontId="12" fillId="2" borderId="1" xfId="0" applyFont="1" applyFill="1" applyBorder="1" applyProtection="1"/>
    <xf numFmtId="0" fontId="6" fillId="2" borderId="1" xfId="6" applyFont="1" applyFill="1" applyBorder="1" applyAlignment="1" applyProtection="1">
      <alignment vertical="center"/>
    </xf>
    <xf numFmtId="0" fontId="6" fillId="60" borderId="1" xfId="2" applyFont="1" applyFill="1" applyBorder="1" applyAlignment="1">
      <alignment horizontal="left"/>
    </xf>
    <xf numFmtId="0" fontId="13" fillId="2" borderId="1" xfId="0" applyFont="1" applyFill="1" applyBorder="1" applyAlignment="1" applyProtection="1">
      <alignment vertical="center"/>
    </xf>
    <xf numFmtId="0" fontId="13" fillId="2" borderId="1" xfId="1" applyFont="1" applyFill="1" applyBorder="1" applyAlignment="1" applyProtection="1">
      <alignment horizontal="left" vertical="center"/>
    </xf>
    <xf numFmtId="0" fontId="4" fillId="2" borderId="1" xfId="0" applyFont="1" applyFill="1" applyBorder="1" applyAlignment="1" applyProtection="1">
      <alignment horizontal="left"/>
    </xf>
    <xf numFmtId="0" fontId="4" fillId="2" borderId="1" xfId="0" applyFont="1" applyFill="1" applyBorder="1" applyAlignment="1" applyProtection="1"/>
    <xf numFmtId="0" fontId="50" fillId="0" borderId="1" xfId="0" applyFont="1" applyFill="1" applyBorder="1" applyAlignment="1" applyProtection="1">
      <alignment horizontal="left" vertical="center"/>
    </xf>
    <xf numFmtId="0" fontId="51" fillId="0" borderId="0" xfId="0" applyFont="1" applyAlignment="1">
      <alignment vertical="center" wrapText="1"/>
    </xf>
    <xf numFmtId="0" fontId="51" fillId="4" borderId="0" xfId="0" applyFont="1" applyFill="1" applyAlignment="1">
      <alignment vertical="center" wrapText="1"/>
    </xf>
  </cellXfs>
  <cellStyles count="122">
    <cellStyle name="Accent1 - 20%" xfId="18" xr:uid="{00E1D912-6DD6-4715-8BB3-775988BAB03E}"/>
    <cellStyle name="Accent1 - 40%" xfId="19" xr:uid="{E32D1704-F76B-49D2-913C-365671EB2ABF}"/>
    <cellStyle name="Accent1 - 60%" xfId="20" xr:uid="{567FA9ED-DCF3-48E7-8139-70566515E238}"/>
    <cellStyle name="Accent1 2" xfId="17" xr:uid="{B859E921-3C36-413C-B1CB-1C7536731558}"/>
    <cellStyle name="Accent1 3" xfId="100" xr:uid="{054265FA-9D15-4466-B5F9-7E9E4DDA9A42}"/>
    <cellStyle name="Accent1 4" xfId="108" xr:uid="{FD591860-8ACF-4506-8E26-331A81FFABEB}"/>
    <cellStyle name="Accent1 5" xfId="119" xr:uid="{F73D171F-2931-40B0-9CDC-C8BF6343BC14}"/>
    <cellStyle name="Accent2 - 20%" xfId="22" xr:uid="{CB49FC23-0068-4FE0-80B0-B7490C83AA70}"/>
    <cellStyle name="Accent2 - 40%" xfId="23" xr:uid="{307FBD4E-CCD7-4D6E-889B-D6613875B116}"/>
    <cellStyle name="Accent2 - 60%" xfId="24" xr:uid="{510053AB-14C3-48A0-BE32-25AB4E8B9C51}"/>
    <cellStyle name="Accent2 2" xfId="21" xr:uid="{AF54A508-E6B5-4C62-85F9-95288E76EDB1}"/>
    <cellStyle name="Accent2 3" xfId="101" xr:uid="{48BCE58B-7A4A-4AEF-B416-23E186895245}"/>
    <cellStyle name="Accent2 4" xfId="109" xr:uid="{11BA3758-CF7A-473E-B5AC-4D7FD00E6912}"/>
    <cellStyle name="Accent2 5" xfId="118" xr:uid="{911B2C91-861E-4B30-84D8-E743FC140D38}"/>
    <cellStyle name="Accent3 - 20%" xfId="26" xr:uid="{1DB175C8-8DDA-4AE6-A885-4143C959E627}"/>
    <cellStyle name="Accent3 - 40%" xfId="27" xr:uid="{D60CE7E1-DA5F-4220-8DF3-A8C9FB242A60}"/>
    <cellStyle name="Accent3 - 60%" xfId="28" xr:uid="{C53902B8-1BC0-4B55-8B0C-A8B695B6B714}"/>
    <cellStyle name="Accent3 2" xfId="25" xr:uid="{03AE4A15-DCAA-4A08-BDAD-E10B43F8C376}"/>
    <cellStyle name="Accent3 3" xfId="102" xr:uid="{F8151574-7F85-4574-8D68-05CF4E6F7B75}"/>
    <cellStyle name="Accent3 4" xfId="110" xr:uid="{85D35723-A467-4511-933A-7EC678B4E4B5}"/>
    <cellStyle name="Accent3 5" xfId="117" xr:uid="{9C182329-F00E-4840-99DD-92D04E75491E}"/>
    <cellStyle name="Accent4 - 20%" xfId="30" xr:uid="{10199749-EBB8-4CAE-B719-45A5C79CBD6E}"/>
    <cellStyle name="Accent4 - 40%" xfId="31" xr:uid="{F938F41C-866C-4CE6-BA36-B353333324CF}"/>
    <cellStyle name="Accent4 - 60%" xfId="32" xr:uid="{B7EB1B75-9B0D-4E78-857D-65D621E978EA}"/>
    <cellStyle name="Accent4 2" xfId="29" xr:uid="{979E1860-6920-480F-AA9F-6B25CB5E2A79}"/>
    <cellStyle name="Accent4 3" xfId="103" xr:uid="{CB51AC23-A923-4660-9D08-135A73C2DEF5}"/>
    <cellStyle name="Accent4 4" xfId="111" xr:uid="{A7F0F336-9F01-4C3C-8EF1-9ED9444BC8FF}"/>
    <cellStyle name="Accent4 5" xfId="116" xr:uid="{801CD749-D1DF-4007-B137-78169E2AFA57}"/>
    <cellStyle name="Accent5 - 20%" xfId="34" xr:uid="{0B36C064-91BF-4375-AC14-421C5C4F1963}"/>
    <cellStyle name="Accent5 - 40%" xfId="35" xr:uid="{E850FFF0-F953-43BC-96A3-4D9E6E00ACAB}"/>
    <cellStyle name="Accent5 - 60%" xfId="36" xr:uid="{020BE046-65A3-4F5E-B6A2-90E8DD57957F}"/>
    <cellStyle name="Accent5 2" xfId="33" xr:uid="{CA1A5647-DB76-4AA5-BEB9-97CEF284EC15}"/>
    <cellStyle name="Accent5 3" xfId="104" xr:uid="{470AB6C6-8505-4B18-8306-A96194DB7E11}"/>
    <cellStyle name="Accent5 4" xfId="112" xr:uid="{D29AE33C-E6C5-4B99-B4D4-474C4EF7DDAA}"/>
    <cellStyle name="Accent5 5" xfId="115" xr:uid="{55CACE35-6452-404E-9BA1-2ED06378A88C}"/>
    <cellStyle name="Accent6 - 20%" xfId="38" xr:uid="{36E992F8-CDD1-4059-B77F-74D0AF2CF934}"/>
    <cellStyle name="Accent6 - 40%" xfId="39" xr:uid="{42A264E9-42B1-4F4D-BC4E-C0406CBAD891}"/>
    <cellStyle name="Accent6 - 60%" xfId="40" xr:uid="{F29AF418-5E3C-4852-A508-6F7900072C30}"/>
    <cellStyle name="Accent6 2" xfId="37" xr:uid="{3160B811-0779-4C33-AE45-4D090BB5297A}"/>
    <cellStyle name="Accent6 3" xfId="105" xr:uid="{9A29DDD7-6F37-433D-A884-503AA0E65221}"/>
    <cellStyle name="Accent6 4" xfId="113" xr:uid="{DF6502A3-6124-46A7-8EF2-54E9B09EF246}"/>
    <cellStyle name="Accent6 5" xfId="114" xr:uid="{E3E44181-7732-402B-994E-05DC6182571C}"/>
    <cellStyle name="Bad 2" xfId="41" xr:uid="{A94739BC-162D-4C8B-8936-3FA1C5785B2D}"/>
    <cellStyle name="Calculation 2" xfId="42" xr:uid="{52E79025-BBA3-430D-B59F-41960322D590}"/>
    <cellStyle name="Check Cell 2" xfId="43" xr:uid="{7277DCD8-0E7E-48DB-8601-07ED87CD3061}"/>
    <cellStyle name="Emphasis 1" xfId="44" xr:uid="{72D811E4-4532-44E7-AE90-CD41672CF8D0}"/>
    <cellStyle name="Emphasis 2" xfId="45" xr:uid="{28EC1434-48A2-423E-BA62-F6A3ACC784A3}"/>
    <cellStyle name="Emphasis 3" xfId="46" xr:uid="{08C651C2-1772-4201-AACF-7EF69F16730F}"/>
    <cellStyle name="Good 2" xfId="47" xr:uid="{BCB5FB9F-87ED-48EF-A7CF-1ACDD4DAED0F}"/>
    <cellStyle name="Heading 1 2" xfId="48" xr:uid="{EFA31C4F-5E9C-4E45-8281-C221FD9AD7A3}"/>
    <cellStyle name="Heading 2 2" xfId="49" xr:uid="{6099347D-0A1A-4BFC-8918-5A55AF5423FD}"/>
    <cellStyle name="Heading 3 2" xfId="50" xr:uid="{D8AD79C0-C912-4408-96C9-B9FBDA14F14D}"/>
    <cellStyle name="Heading 4 2" xfId="51" xr:uid="{8F7C6BED-48C8-47A0-B0F8-95F6EE95A2F9}"/>
    <cellStyle name="Input 2" xfId="52" xr:uid="{9D16F375-10C2-46AF-9189-0185431AE35C}"/>
    <cellStyle name="Linked Cell 2" xfId="53" xr:uid="{E8148777-A1DA-462D-9F63-2A7433550877}"/>
    <cellStyle name="Navadno 2" xfId="6" xr:uid="{5856A242-62E9-456D-B1FB-63CF4C4BACEA}"/>
    <cellStyle name="Navadno 3" xfId="13" xr:uid="{BBD82C2D-2374-479C-B410-555036118434}"/>
    <cellStyle name="Navadno 4" xfId="9" xr:uid="{74AC0EBA-428B-4D06-90BC-B4833404534C}"/>
    <cellStyle name="Navadno 6" xfId="120" xr:uid="{66E2E94E-9E36-46D6-9044-82BBBD72E111}"/>
    <cellStyle name="Navadno_List1" xfId="2" xr:uid="{8CCBF931-39B3-44FA-B2FF-6D05CF9D6D8D}"/>
    <cellStyle name="Neutral 2" xfId="54" xr:uid="{49F36594-3064-4402-AD8D-5E8C2D32C521}"/>
    <cellStyle name="Normal" xfId="0" builtinId="0"/>
    <cellStyle name="Normal 100 4" xfId="8" xr:uid="{EA50816A-E544-4997-B19D-7FC5F5453E7A}"/>
    <cellStyle name="Normal 16" xfId="5" xr:uid="{18224FA1-7CE7-4287-9036-49891A08B67A}"/>
    <cellStyle name="Normal 2" xfId="10" xr:uid="{1B86654B-8FEA-459E-94BF-3F84D7AAA604}"/>
    <cellStyle name="Normal 2 2" xfId="12" xr:uid="{ED07B7F0-9A89-41A3-BBA5-71ACDD53D3F8}"/>
    <cellStyle name="Normal 3" xfId="16" xr:uid="{88384700-BFD6-44E4-84C0-10B3AE55A1F6}"/>
    <cellStyle name="Normal 4" xfId="99" xr:uid="{184B3707-C479-404B-AFF6-224D2B3DB180}"/>
    <cellStyle name="Normal 5" xfId="11" xr:uid="{AAB32704-D3BC-45A2-BD41-F682D64AF641}"/>
    <cellStyle name="Normal 6" xfId="1" xr:uid="{52FB9E8A-344D-4BC1-AC92-BEA645A532F3}"/>
    <cellStyle name="Normal 6 2" xfId="4" xr:uid="{50278005-F5E4-482A-B035-7775D2DD6E28}"/>
    <cellStyle name="Normal 7" xfId="7" xr:uid="{8798E75C-913F-400B-B512-62D5278F886E}"/>
    <cellStyle name="Normal_Sheet1" xfId="3" xr:uid="{CCAA15D7-DECA-4EAA-8F23-7C7B165C9F27}"/>
    <cellStyle name="Note 2" xfId="55" xr:uid="{6E0D922A-2C6D-424B-B69E-B325F4F3ED06}"/>
    <cellStyle name="Output 2" xfId="56" xr:uid="{A68B6812-A673-4509-A5AC-BE2DB154E882}"/>
    <cellStyle name="SAPBEXaggData" xfId="57" xr:uid="{45D00B1C-8575-47DD-A05A-0C5764166247}"/>
    <cellStyle name="SAPBEXaggDataEmph" xfId="58" xr:uid="{A553C168-47FF-4801-9815-26CA3A3B1980}"/>
    <cellStyle name="SAPBEXaggItem" xfId="59" xr:uid="{6BBB081D-55FF-4424-AF9B-B430AC2E0B49}"/>
    <cellStyle name="SAPBEXaggItemX" xfId="60" xr:uid="{F2DB74CA-05B4-4E16-923F-747FB9E1D763}"/>
    <cellStyle name="SAPBEXchaText" xfId="14" xr:uid="{4A85C435-1F6C-4848-8CB6-13F45425D7ED}"/>
    <cellStyle name="SAPBEXexcBad7" xfId="61" xr:uid="{92CCA9F2-3EEA-44AB-A446-CA212CCA25C6}"/>
    <cellStyle name="SAPBEXexcBad8" xfId="62" xr:uid="{F3BF90A9-124B-41EB-B738-3E586E3F6018}"/>
    <cellStyle name="SAPBEXexcBad9" xfId="63" xr:uid="{0FEDA7B5-6E4B-425D-885F-31DE73C69C64}"/>
    <cellStyle name="SAPBEXexcCritical4" xfId="64" xr:uid="{AAA573BF-8600-4D5D-A795-9D3C36C5C23E}"/>
    <cellStyle name="SAPBEXexcCritical5" xfId="65" xr:uid="{9AD94432-775C-4689-BDC0-BCD5153C81B3}"/>
    <cellStyle name="SAPBEXexcCritical6" xfId="66" xr:uid="{74B58E4C-02D1-4B98-8C72-CB5F1DE820AD}"/>
    <cellStyle name="SAPBEXexcGood1" xfId="67" xr:uid="{FADFE48E-AEE9-41F5-B701-14E8F2451198}"/>
    <cellStyle name="SAPBEXexcGood2" xfId="68" xr:uid="{3479E3E1-D4A5-4651-B71F-FD65CA8D0A53}"/>
    <cellStyle name="SAPBEXexcGood3" xfId="69" xr:uid="{5F8AFBE1-8995-4BE5-980B-C4532DCA4CE4}"/>
    <cellStyle name="SAPBEXfilterDrill" xfId="70" xr:uid="{EDA17E9A-4B4E-495D-96D3-DD0BBDCE28EA}"/>
    <cellStyle name="SAPBEXfilterItem" xfId="71" xr:uid="{3A9DECE4-F6C6-48D2-AC1B-D145063E68E9}"/>
    <cellStyle name="SAPBEXfilterText" xfId="72" xr:uid="{98BE6EB2-DDE3-4A23-8AD8-2FE99B31E406}"/>
    <cellStyle name="SAPBEXformats" xfId="73" xr:uid="{3B8B7B0B-2165-4494-BA34-40D5BB6CC733}"/>
    <cellStyle name="SAPBEXheaderItem" xfId="74" xr:uid="{B1BAEBEB-DF6A-4D76-A7FF-32251ED4460E}"/>
    <cellStyle name="SAPBEXheaderText" xfId="75" xr:uid="{984F0F0D-47C5-4E14-83E1-C20D34BC844A}"/>
    <cellStyle name="SAPBEXHLevel0" xfId="76" xr:uid="{2014F5F3-15AB-4CCD-82AA-0598978271E5}"/>
    <cellStyle name="SAPBEXHLevel0X" xfId="77" xr:uid="{8785670A-0278-4697-9EDD-2CAEE57DF555}"/>
    <cellStyle name="SAPBEXHLevel1" xfId="78" xr:uid="{FE842CAC-F0E7-4758-B914-500FB310B56C}"/>
    <cellStyle name="SAPBEXHLevel1X" xfId="79" xr:uid="{8EAF63CA-5458-48AF-8F28-6ACB1EE2A6C0}"/>
    <cellStyle name="SAPBEXHLevel2" xfId="80" xr:uid="{F251A60F-9458-41D4-9DBE-F26F5A9AECD5}"/>
    <cellStyle name="SAPBEXHLevel2X" xfId="81" xr:uid="{1844E9B6-104D-4CCB-9233-92F53A22EBC4}"/>
    <cellStyle name="SAPBEXHLevel3" xfId="82" xr:uid="{9E17E607-EE2B-4FA0-AF13-C79783FDE3C2}"/>
    <cellStyle name="SAPBEXHLevel3X" xfId="83" xr:uid="{AF7A4A06-4FBD-4E6E-AC18-804B6B4EE150}"/>
    <cellStyle name="SAPBEXinputData" xfId="84" xr:uid="{D4798C7B-C886-4309-A178-E771AEC76A3D}"/>
    <cellStyle name="SAPBEXItemHeader" xfId="85" xr:uid="{8CB69223-F51B-4A9D-B908-552186CA3346}"/>
    <cellStyle name="SAPBEXresData" xfId="86" xr:uid="{A126081D-BFFC-4DC7-9DC5-A2E6B7D61BD9}"/>
    <cellStyle name="SAPBEXresDataEmph" xfId="87" xr:uid="{362D93DC-98AA-4332-B75F-FF3ACECD32A1}"/>
    <cellStyle name="SAPBEXresDataEmph 2" xfId="106" xr:uid="{9D3E5950-C484-4D04-A5A5-2A03E43C358A}"/>
    <cellStyle name="SAPBEXresItem" xfId="88" xr:uid="{B113B784-6565-4053-B715-D8AFEEA19CBE}"/>
    <cellStyle name="SAPBEXresItemX" xfId="89" xr:uid="{2A951984-6AC7-4D63-AEEF-A863BD84F0AE}"/>
    <cellStyle name="SAPBEXstdData" xfId="90" xr:uid="{96A48593-0C11-4217-9F33-2FD31AA63A0D}"/>
    <cellStyle name="SAPBEXstdDataEmph" xfId="91" xr:uid="{2514A189-159B-4F1D-A4FD-13C07F5A2D8D}"/>
    <cellStyle name="SAPBEXstdItem" xfId="15" xr:uid="{2746D9FB-42D8-47C3-BE05-A48B61D003D6}"/>
    <cellStyle name="SAPBEXstdItemX" xfId="92" xr:uid="{BE615A65-7254-4013-A06A-1C2849FA077C}"/>
    <cellStyle name="SAPBEXtitle" xfId="93" xr:uid="{48E01FD9-C1DD-4B7B-9BA3-EA4EB5543951}"/>
    <cellStyle name="SAPBEXunassignedItem" xfId="94" xr:uid="{1FCEA73B-A337-4E1F-A2BD-2ABC5937345C}"/>
    <cellStyle name="SAPBEXunassignedItem 2" xfId="107" xr:uid="{08A50FF1-17CD-4BA0-AEE4-D5E36F15CFB0}"/>
    <cellStyle name="SAPBEXundefined" xfId="95" xr:uid="{0F620A22-9CD1-40E1-8746-1F367757B27B}"/>
    <cellStyle name="SAPDataCell" xfId="121" xr:uid="{11982354-2967-4C72-AF08-53F50503FAAB}"/>
    <cellStyle name="Sheet Title" xfId="96" xr:uid="{0D2C7537-F802-43BA-9E50-920BCBED300C}"/>
    <cellStyle name="Total 2" xfId="97" xr:uid="{4E19413E-A43E-43D5-818F-ED16F0C3B7EC}"/>
    <cellStyle name="Warning Text 2" xfId="98" xr:uid="{C44D6AE1-D9EF-476C-BE33-D1D73C5DC484}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9</xdr:row>
      <xdr:rowOff>123825</xdr:rowOff>
    </xdr:from>
    <xdr:to>
      <xdr:col>3</xdr:col>
      <xdr:colOff>180975</xdr:colOff>
      <xdr:row>13</xdr:row>
      <xdr:rowOff>66675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F865E729-36F8-45CB-944F-7EC5A6E89536}"/>
            </a:ext>
          </a:extLst>
        </xdr:cNvPr>
        <xdr:cNvSpPr/>
      </xdr:nvSpPr>
      <xdr:spPr>
        <a:xfrm>
          <a:off x="238125" y="2095500"/>
          <a:ext cx="2076450" cy="704850"/>
        </a:xfrm>
        <a:prstGeom prst="wedgeRectCallout">
          <a:avLst>
            <a:gd name="adj1" fmla="val 20782"/>
            <a:gd name="adj2" fmla="val -173987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Upisati</a:t>
          </a:r>
          <a:r>
            <a:rPr lang="en-US" sz="1200" baseline="0">
              <a:solidFill>
                <a:sysClr val="windowText" lastClr="000000"/>
              </a:solidFill>
            </a:rPr>
            <a:t> šifru artikla proizvoda. Druga polja će se popuniti automatski</a:t>
          </a:r>
        </a:p>
        <a:p>
          <a:pPr algn="l"/>
          <a:endParaRPr lang="hr-H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55EA7-8C0A-435C-90AF-1CEF99145BC3}">
  <dimension ref="C4:G5"/>
  <sheetViews>
    <sheetView workbookViewId="0">
      <selection activeCell="C5" sqref="C5"/>
    </sheetView>
  </sheetViews>
  <sheetFormatPr defaultRowHeight="15" x14ac:dyDescent="0.25"/>
  <cols>
    <col min="3" max="3" width="13.7109375" customWidth="1"/>
    <col min="4" max="4" width="18.85546875" customWidth="1"/>
    <col min="5" max="5" width="15.140625" customWidth="1"/>
    <col min="6" max="6" width="21.7109375" customWidth="1"/>
    <col min="7" max="7" width="144.5703125" customWidth="1"/>
  </cols>
  <sheetData>
    <row r="4" spans="3:7" ht="19.5" thickBot="1" x14ac:dyDescent="0.35">
      <c r="C4" s="96" t="s">
        <v>330</v>
      </c>
      <c r="D4" s="93" t="s">
        <v>0</v>
      </c>
      <c r="E4" s="92" t="s">
        <v>1</v>
      </c>
      <c r="F4" s="90" t="s">
        <v>329</v>
      </c>
      <c r="G4" s="91" t="s">
        <v>384</v>
      </c>
    </row>
    <row r="5" spans="3:7" ht="31.5" customHeight="1" thickBot="1" x14ac:dyDescent="0.3">
      <c r="C5" s="97">
        <v>178218</v>
      </c>
      <c r="D5" s="95" t="str">
        <f>+VLOOKUP(C5,'Tablica statusa'!A3:$D$413,2,FALSE)</f>
        <v>E32MST</v>
      </c>
      <c r="E5" s="1" t="str">
        <f>+VLOOKUP(C5,'Tablica statusa'!A3:$D$413,3,FALSE)</f>
        <v>ME501N</v>
      </c>
      <c r="F5" s="94">
        <f>+VLOOKUP(C5,'Tablica statusa'!A3:$D$413,4,FALSE)</f>
        <v>3</v>
      </c>
      <c r="G5" s="1" t="str">
        <f>+VLOOKUP(F5,'Tablica statusa'!$F$3:$G$6,2,FALSE)</f>
        <v>SERVISIRAMO</v>
      </c>
    </row>
  </sheetData>
  <sheetProtection algorithmName="SHA-512" hashValue="Nlj6Wzww9XNagV0vyoDEj8pdlHFpakLE8CjH+b3lLMjQ95WRKR0JUo3JjURhWmBA+AjKsYw6yUmYqp++hY891w==" saltValue="VmNea53vgIw1mCxARETK2A==" spinCount="100000" sheet="1" objects="1" scenarios="1"/>
  <conditionalFormatting sqref="C4">
    <cfRule type="duplicateValues" dxfId="55" priority="40"/>
  </conditionalFormatting>
  <conditionalFormatting sqref="C5">
    <cfRule type="duplicateValues" dxfId="54" priority="2"/>
  </conditionalFormatting>
  <conditionalFormatting sqref="C5">
    <cfRule type="duplicateValues" dxfId="53" priority="1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4F0AC-50F3-4F7F-B92C-2BA3DBDD70DA}">
  <dimension ref="A1:J423"/>
  <sheetViews>
    <sheetView tabSelected="1" topLeftCell="A376" workbookViewId="0">
      <selection activeCell="G421" sqref="G421"/>
    </sheetView>
  </sheetViews>
  <sheetFormatPr defaultRowHeight="15" x14ac:dyDescent="0.25"/>
  <cols>
    <col min="1" max="1" width="12.140625" style="2" customWidth="1"/>
    <col min="2" max="2" width="24.5703125" style="2" customWidth="1"/>
    <col min="3" max="3" width="17.5703125" style="2" customWidth="1"/>
    <col min="4" max="4" width="16.28515625" style="3" customWidth="1"/>
    <col min="5" max="5" width="9.140625" style="2"/>
    <col min="6" max="6" width="20.85546875" style="2" customWidth="1"/>
    <col min="7" max="9" width="9.140625" style="2"/>
    <col min="10" max="10" width="18.85546875" style="2" customWidth="1"/>
    <col min="11" max="16384" width="9.140625" style="2"/>
  </cols>
  <sheetData>
    <row r="1" spans="1:7" x14ac:dyDescent="0.25">
      <c r="F1" s="4"/>
    </row>
    <row r="2" spans="1:7" s="5" customFormat="1" ht="35.25" customHeight="1" x14ac:dyDescent="0.25">
      <c r="D2" s="3"/>
      <c r="F2" s="6" t="s">
        <v>329</v>
      </c>
    </row>
    <row r="3" spans="1:7" ht="15.75" x14ac:dyDescent="0.25">
      <c r="A3" s="7" t="s">
        <v>330</v>
      </c>
      <c r="B3" s="8" t="s">
        <v>0</v>
      </c>
      <c r="C3" s="8" t="s">
        <v>1</v>
      </c>
      <c r="F3" s="9">
        <v>0</v>
      </c>
      <c r="G3" s="10" t="s">
        <v>380</v>
      </c>
    </row>
    <row r="4" spans="1:7" ht="15.75" x14ac:dyDescent="0.25">
      <c r="A4" s="7" t="s">
        <v>2</v>
      </c>
      <c r="B4" s="7"/>
      <c r="C4" s="11"/>
      <c r="D4" s="12" t="s">
        <v>329</v>
      </c>
      <c r="F4" s="9">
        <v>1</v>
      </c>
      <c r="G4" s="10" t="s">
        <v>381</v>
      </c>
    </row>
    <row r="5" spans="1:7" ht="15.75" x14ac:dyDescent="0.25">
      <c r="A5" s="13">
        <v>731500</v>
      </c>
      <c r="B5" s="14" t="s">
        <v>3</v>
      </c>
      <c r="C5" s="15" t="s">
        <v>4</v>
      </c>
      <c r="D5" s="3">
        <v>2</v>
      </c>
      <c r="F5" s="16">
        <v>2</v>
      </c>
      <c r="G5" s="17" t="s">
        <v>382</v>
      </c>
    </row>
    <row r="6" spans="1:7" ht="15.75" x14ac:dyDescent="0.25">
      <c r="A6" s="18">
        <v>377478</v>
      </c>
      <c r="B6" s="19" t="s">
        <v>5</v>
      </c>
      <c r="C6" s="19" t="s">
        <v>6</v>
      </c>
      <c r="D6" s="3">
        <v>2</v>
      </c>
      <c r="F6" s="16">
        <v>3</v>
      </c>
      <c r="G6" s="17" t="s">
        <v>383</v>
      </c>
    </row>
    <row r="7" spans="1:7" x14ac:dyDescent="0.25">
      <c r="A7" s="13">
        <v>731532</v>
      </c>
      <c r="B7" s="20" t="s">
        <v>7</v>
      </c>
      <c r="C7" s="21" t="s">
        <v>8</v>
      </c>
      <c r="D7" s="3">
        <v>2</v>
      </c>
    </row>
    <row r="8" spans="1:7" x14ac:dyDescent="0.25">
      <c r="A8" s="19">
        <v>377480</v>
      </c>
      <c r="B8" s="19" t="s">
        <v>9</v>
      </c>
      <c r="C8" s="19" t="s">
        <v>10</v>
      </c>
      <c r="D8" s="3">
        <v>2</v>
      </c>
    </row>
    <row r="9" spans="1:7" x14ac:dyDescent="0.25">
      <c r="A9" s="102">
        <v>733358</v>
      </c>
      <c r="B9" s="100"/>
      <c r="C9" s="104" t="s">
        <v>364</v>
      </c>
      <c r="D9" s="22">
        <v>2</v>
      </c>
    </row>
    <row r="10" spans="1:7" x14ac:dyDescent="0.25">
      <c r="A10" s="113">
        <v>734281</v>
      </c>
      <c r="B10" s="114"/>
      <c r="C10" s="115" t="s">
        <v>401</v>
      </c>
      <c r="D10" s="22">
        <v>2</v>
      </c>
    </row>
    <row r="11" spans="1:7" x14ac:dyDescent="0.25">
      <c r="A11" s="113">
        <v>742062</v>
      </c>
      <c r="B11" s="114"/>
      <c r="C11" s="115" t="s">
        <v>520</v>
      </c>
      <c r="D11" s="22">
        <v>2</v>
      </c>
    </row>
    <row r="12" spans="1:7" x14ac:dyDescent="0.25">
      <c r="A12" s="113">
        <v>740200</v>
      </c>
      <c r="B12" s="114"/>
      <c r="C12" s="115" t="s">
        <v>521</v>
      </c>
      <c r="D12" s="22">
        <v>2</v>
      </c>
    </row>
    <row r="13" spans="1:7" x14ac:dyDescent="0.25">
      <c r="A13" s="23"/>
      <c r="B13" s="23"/>
      <c r="C13" s="24"/>
    </row>
    <row r="14" spans="1:7" x14ac:dyDescent="0.25">
      <c r="A14" s="25" t="s">
        <v>11</v>
      </c>
      <c r="B14" s="26"/>
      <c r="C14" s="27"/>
    </row>
    <row r="15" spans="1:7" x14ac:dyDescent="0.25">
      <c r="A15" s="28">
        <v>663550</v>
      </c>
      <c r="B15" s="29" t="s">
        <v>12</v>
      </c>
      <c r="C15" s="30" t="s">
        <v>13</v>
      </c>
      <c r="D15" s="3">
        <v>1</v>
      </c>
    </row>
    <row r="16" spans="1:7" x14ac:dyDescent="0.25">
      <c r="A16" s="28">
        <v>663551</v>
      </c>
      <c r="B16" s="29" t="s">
        <v>12</v>
      </c>
      <c r="C16" s="30" t="s">
        <v>14</v>
      </c>
      <c r="D16" s="3">
        <v>1</v>
      </c>
    </row>
    <row r="17" spans="1:6" x14ac:dyDescent="0.25">
      <c r="A17" s="19">
        <v>503955</v>
      </c>
      <c r="B17" s="19" t="s">
        <v>15</v>
      </c>
      <c r="C17" s="19" t="s">
        <v>16</v>
      </c>
      <c r="D17" s="3">
        <v>1</v>
      </c>
    </row>
    <row r="18" spans="1:6" x14ac:dyDescent="0.25">
      <c r="A18" s="28">
        <v>663552</v>
      </c>
      <c r="B18" s="19" t="s">
        <v>17</v>
      </c>
      <c r="C18" s="31" t="s">
        <v>18</v>
      </c>
      <c r="D18" s="3">
        <v>1</v>
      </c>
    </row>
    <row r="19" spans="1:6" x14ac:dyDescent="0.25">
      <c r="A19" s="28">
        <v>663553</v>
      </c>
      <c r="B19" s="19" t="s">
        <v>19</v>
      </c>
      <c r="C19" s="31" t="s">
        <v>20</v>
      </c>
      <c r="D19" s="3">
        <v>1</v>
      </c>
    </row>
    <row r="20" spans="1:6" x14ac:dyDescent="0.25">
      <c r="A20" s="19">
        <v>478631</v>
      </c>
      <c r="B20" s="19" t="s">
        <v>21</v>
      </c>
      <c r="C20" s="19" t="s">
        <v>22</v>
      </c>
      <c r="D20" s="3">
        <v>1</v>
      </c>
    </row>
    <row r="21" spans="1:6" x14ac:dyDescent="0.25">
      <c r="A21" s="28">
        <v>673866</v>
      </c>
      <c r="B21" s="19" t="s">
        <v>23</v>
      </c>
      <c r="C21" s="31" t="s">
        <v>24</v>
      </c>
      <c r="D21" s="3">
        <v>1</v>
      </c>
    </row>
    <row r="22" spans="1:6" x14ac:dyDescent="0.25">
      <c r="A22" s="21">
        <v>728256</v>
      </c>
      <c r="B22" s="14" t="s">
        <v>25</v>
      </c>
      <c r="C22" s="21" t="s">
        <v>26</v>
      </c>
      <c r="D22" s="3">
        <v>1</v>
      </c>
    </row>
    <row r="23" spans="1:6" x14ac:dyDescent="0.25">
      <c r="A23" s="32">
        <v>525397</v>
      </c>
      <c r="B23" s="33" t="s">
        <v>21</v>
      </c>
      <c r="C23" s="33" t="s">
        <v>27</v>
      </c>
      <c r="D23" s="3">
        <v>1</v>
      </c>
      <c r="F23" s="3"/>
    </row>
    <row r="24" spans="1:6" x14ac:dyDescent="0.25">
      <c r="A24" s="32">
        <v>522697</v>
      </c>
      <c r="B24" s="33" t="s">
        <v>28</v>
      </c>
      <c r="C24" s="33" t="s">
        <v>29</v>
      </c>
      <c r="D24" s="3">
        <v>1</v>
      </c>
    </row>
    <row r="25" spans="1:6" x14ac:dyDescent="0.25">
      <c r="A25" s="28">
        <v>663608</v>
      </c>
      <c r="B25" s="19" t="s">
        <v>30</v>
      </c>
      <c r="C25" s="31" t="s">
        <v>31</v>
      </c>
      <c r="D25" s="3">
        <v>1</v>
      </c>
    </row>
    <row r="26" spans="1:6" x14ac:dyDescent="0.25">
      <c r="A26" s="28">
        <v>572602</v>
      </c>
      <c r="B26" s="19"/>
      <c r="C26" s="31" t="s">
        <v>361</v>
      </c>
      <c r="D26" s="3">
        <v>2</v>
      </c>
    </row>
    <row r="27" spans="1:6" x14ac:dyDescent="0.25">
      <c r="A27" s="29">
        <v>673868</v>
      </c>
      <c r="B27" s="34" t="s">
        <v>342</v>
      </c>
      <c r="C27" s="14" t="s">
        <v>349</v>
      </c>
      <c r="D27" s="3">
        <v>3</v>
      </c>
    </row>
    <row r="28" spans="1:6" x14ac:dyDescent="0.25">
      <c r="A28" s="28">
        <v>178218</v>
      </c>
      <c r="B28" s="19" t="s">
        <v>343</v>
      </c>
      <c r="C28" s="31" t="s">
        <v>350</v>
      </c>
      <c r="D28" s="3">
        <v>3</v>
      </c>
    </row>
    <row r="29" spans="1:6" ht="16.5" customHeight="1" x14ac:dyDescent="0.25">
      <c r="A29" s="19">
        <v>731717</v>
      </c>
      <c r="B29" s="19"/>
      <c r="C29" s="70" t="s">
        <v>331</v>
      </c>
      <c r="D29" s="22">
        <v>1</v>
      </c>
    </row>
    <row r="30" spans="1:6" x14ac:dyDescent="0.25">
      <c r="A30" s="105">
        <v>731715</v>
      </c>
      <c r="B30" s="103"/>
      <c r="C30" s="106" t="s">
        <v>333</v>
      </c>
      <c r="D30" s="35">
        <v>1</v>
      </c>
    </row>
    <row r="31" spans="1:6" x14ac:dyDescent="0.25">
      <c r="A31" s="105">
        <v>733349</v>
      </c>
      <c r="B31" s="103"/>
      <c r="C31" s="106" t="s">
        <v>418</v>
      </c>
      <c r="D31" s="35">
        <v>1</v>
      </c>
    </row>
    <row r="32" spans="1:6" x14ac:dyDescent="0.25">
      <c r="A32" s="105">
        <v>735620</v>
      </c>
      <c r="B32" s="103"/>
      <c r="C32" s="106" t="s">
        <v>419</v>
      </c>
      <c r="D32" s="35">
        <v>1</v>
      </c>
    </row>
    <row r="33" spans="1:4" x14ac:dyDescent="0.25">
      <c r="A33" s="105">
        <v>735619</v>
      </c>
      <c r="B33" s="103"/>
      <c r="C33" s="106" t="s">
        <v>420</v>
      </c>
      <c r="D33" s="35">
        <v>1</v>
      </c>
    </row>
    <row r="34" spans="1:4" x14ac:dyDescent="0.25">
      <c r="A34" s="105">
        <v>735651</v>
      </c>
      <c r="B34" s="103"/>
      <c r="C34" s="106" t="s">
        <v>421</v>
      </c>
      <c r="D34" s="35">
        <v>1</v>
      </c>
    </row>
    <row r="35" spans="1:4" x14ac:dyDescent="0.25">
      <c r="A35" s="105">
        <v>735652</v>
      </c>
      <c r="B35" s="103"/>
      <c r="C35" s="106" t="s">
        <v>422</v>
      </c>
      <c r="D35" s="35">
        <v>1</v>
      </c>
    </row>
    <row r="36" spans="1:4" x14ac:dyDescent="0.25">
      <c r="A36" s="105">
        <v>733350</v>
      </c>
      <c r="B36" s="103"/>
      <c r="C36" s="106" t="s">
        <v>423</v>
      </c>
      <c r="D36" s="35">
        <v>1</v>
      </c>
    </row>
    <row r="37" spans="1:4" x14ac:dyDescent="0.25">
      <c r="A37" s="105">
        <v>735653</v>
      </c>
      <c r="B37" s="103"/>
      <c r="C37" s="106" t="s">
        <v>424</v>
      </c>
      <c r="D37" s="35">
        <v>1</v>
      </c>
    </row>
    <row r="38" spans="1:4" x14ac:dyDescent="0.25">
      <c r="A38" s="105">
        <v>735655</v>
      </c>
      <c r="B38" s="103"/>
      <c r="C38" s="106" t="s">
        <v>425</v>
      </c>
      <c r="D38" s="35">
        <v>1</v>
      </c>
    </row>
    <row r="39" spans="1:4" x14ac:dyDescent="0.25">
      <c r="A39" s="105">
        <v>735654</v>
      </c>
      <c r="B39" s="103"/>
      <c r="C39" s="106" t="s">
        <v>426</v>
      </c>
      <c r="D39" s="35">
        <v>1</v>
      </c>
    </row>
    <row r="40" spans="1:4" x14ac:dyDescent="0.25">
      <c r="A40" s="105">
        <v>735656</v>
      </c>
      <c r="B40" s="103"/>
      <c r="C40" s="106" t="s">
        <v>427</v>
      </c>
      <c r="D40" s="35">
        <v>1</v>
      </c>
    </row>
    <row r="41" spans="1:4" x14ac:dyDescent="0.25">
      <c r="A41" s="105">
        <v>735657</v>
      </c>
      <c r="B41" s="103"/>
      <c r="C41" s="106" t="s">
        <v>428</v>
      </c>
      <c r="D41" s="35">
        <v>1</v>
      </c>
    </row>
    <row r="42" spans="1:4" x14ac:dyDescent="0.25">
      <c r="A42" s="105">
        <v>737611</v>
      </c>
      <c r="B42" s="103"/>
      <c r="C42" s="106" t="s">
        <v>429</v>
      </c>
      <c r="D42" s="35">
        <v>1</v>
      </c>
    </row>
    <row r="43" spans="1:4" x14ac:dyDescent="0.25">
      <c r="A43" s="105">
        <v>739226</v>
      </c>
      <c r="B43" s="103" t="s">
        <v>458</v>
      </c>
      <c r="C43" s="106" t="s">
        <v>459</v>
      </c>
      <c r="D43" s="35">
        <v>1</v>
      </c>
    </row>
    <row r="44" spans="1:4" x14ac:dyDescent="0.25">
      <c r="A44" s="105">
        <v>736857</v>
      </c>
      <c r="B44" s="103"/>
      <c r="C44" s="106" t="s">
        <v>462</v>
      </c>
      <c r="D44" s="35">
        <v>1</v>
      </c>
    </row>
    <row r="45" spans="1:4" s="39" customFormat="1" x14ac:dyDescent="0.25">
      <c r="A45" s="36"/>
      <c r="B45" s="37"/>
      <c r="C45" s="38"/>
      <c r="D45" s="35"/>
    </row>
    <row r="46" spans="1:4" x14ac:dyDescent="0.25">
      <c r="A46" s="40" t="s">
        <v>32</v>
      </c>
      <c r="B46" s="26"/>
      <c r="C46" s="23"/>
      <c r="D46" s="22"/>
    </row>
    <row r="47" spans="1:4" x14ac:dyDescent="0.25">
      <c r="A47" s="19">
        <v>402241</v>
      </c>
      <c r="B47" s="19" t="s">
        <v>33</v>
      </c>
      <c r="C47" s="19" t="s">
        <v>34</v>
      </c>
      <c r="D47" s="22">
        <v>1</v>
      </c>
    </row>
    <row r="48" spans="1:4" x14ac:dyDescent="0.25">
      <c r="A48" s="19">
        <v>347040</v>
      </c>
      <c r="B48" s="19" t="s">
        <v>35</v>
      </c>
      <c r="C48" s="19" t="s">
        <v>36</v>
      </c>
      <c r="D48" s="22">
        <v>1</v>
      </c>
    </row>
    <row r="49" spans="1:4" x14ac:dyDescent="0.25">
      <c r="A49" s="32">
        <v>573794</v>
      </c>
      <c r="B49" s="33" t="s">
        <v>37</v>
      </c>
      <c r="C49" s="33" t="s">
        <v>38</v>
      </c>
      <c r="D49" s="22">
        <v>1</v>
      </c>
    </row>
    <row r="50" spans="1:4" x14ac:dyDescent="0.25">
      <c r="A50" s="41">
        <v>663556</v>
      </c>
      <c r="B50" s="42" t="s">
        <v>344</v>
      </c>
      <c r="C50" s="42" t="s">
        <v>351</v>
      </c>
      <c r="D50" s="22">
        <v>1</v>
      </c>
    </row>
    <row r="51" spans="1:4" x14ac:dyDescent="0.25">
      <c r="A51" s="105">
        <v>731696</v>
      </c>
      <c r="B51" s="103"/>
      <c r="C51" s="106" t="s">
        <v>339</v>
      </c>
      <c r="D51" s="35">
        <v>0</v>
      </c>
    </row>
    <row r="52" spans="1:4" x14ac:dyDescent="0.25">
      <c r="A52" s="105">
        <v>740227</v>
      </c>
      <c r="B52" s="103"/>
      <c r="C52" s="106" t="s">
        <v>466</v>
      </c>
      <c r="D52" s="35">
        <v>1</v>
      </c>
    </row>
    <row r="53" spans="1:4" x14ac:dyDescent="0.25">
      <c r="A53" s="105">
        <v>735373</v>
      </c>
      <c r="B53" s="103"/>
      <c r="C53" s="106" t="s">
        <v>467</v>
      </c>
      <c r="D53" s="35">
        <v>1</v>
      </c>
    </row>
    <row r="54" spans="1:4" x14ac:dyDescent="0.25">
      <c r="A54" s="43"/>
      <c r="B54" s="43"/>
      <c r="C54" s="43"/>
    </row>
    <row r="55" spans="1:4" x14ac:dyDescent="0.25">
      <c r="A55" s="40" t="s">
        <v>39</v>
      </c>
      <c r="B55" s="43"/>
      <c r="C55" s="43"/>
    </row>
    <row r="56" spans="1:4" x14ac:dyDescent="0.25">
      <c r="A56" s="28">
        <v>579450</v>
      </c>
      <c r="B56" s="29" t="s">
        <v>40</v>
      </c>
      <c r="C56" s="28" t="s">
        <v>41</v>
      </c>
      <c r="D56" s="3">
        <v>1</v>
      </c>
    </row>
    <row r="57" spans="1:4" x14ac:dyDescent="0.25">
      <c r="A57" s="44">
        <v>505248</v>
      </c>
      <c r="B57" s="19" t="s">
        <v>42</v>
      </c>
      <c r="C57" s="44" t="s">
        <v>43</v>
      </c>
      <c r="D57" s="3">
        <v>1</v>
      </c>
    </row>
    <row r="58" spans="1:4" x14ac:dyDescent="0.25">
      <c r="A58" s="21">
        <v>673852</v>
      </c>
      <c r="B58" s="14" t="s">
        <v>44</v>
      </c>
      <c r="C58" s="21" t="s">
        <v>45</v>
      </c>
      <c r="D58" s="3">
        <v>1</v>
      </c>
    </row>
    <row r="59" spans="1:4" x14ac:dyDescent="0.25">
      <c r="A59" s="44">
        <v>472414</v>
      </c>
      <c r="B59" s="19" t="s">
        <v>46</v>
      </c>
      <c r="C59" s="44" t="s">
        <v>47</v>
      </c>
      <c r="D59" s="3">
        <v>2</v>
      </c>
    </row>
    <row r="60" spans="1:4" x14ac:dyDescent="0.25">
      <c r="A60" s="21">
        <v>728255</v>
      </c>
      <c r="B60" s="14" t="s">
        <v>48</v>
      </c>
      <c r="C60" s="21" t="s">
        <v>49</v>
      </c>
      <c r="D60" s="3">
        <v>2</v>
      </c>
    </row>
    <row r="61" spans="1:4" x14ac:dyDescent="0.25">
      <c r="A61" s="44">
        <v>472415</v>
      </c>
      <c r="B61" s="19" t="s">
        <v>46</v>
      </c>
      <c r="C61" s="44" t="s">
        <v>50</v>
      </c>
      <c r="D61" s="3">
        <v>2</v>
      </c>
    </row>
    <row r="62" spans="1:4" x14ac:dyDescent="0.25">
      <c r="A62" s="32">
        <v>571402</v>
      </c>
      <c r="B62" s="33" t="s">
        <v>51</v>
      </c>
      <c r="C62" s="33" t="s">
        <v>52</v>
      </c>
      <c r="D62" s="3">
        <v>1</v>
      </c>
    </row>
    <row r="63" spans="1:4" x14ac:dyDescent="0.25">
      <c r="A63" s="32">
        <v>521350</v>
      </c>
      <c r="B63" s="33" t="s">
        <v>53</v>
      </c>
      <c r="C63" s="33" t="s">
        <v>54</v>
      </c>
      <c r="D63" s="3">
        <v>2</v>
      </c>
    </row>
    <row r="64" spans="1:4" x14ac:dyDescent="0.25">
      <c r="A64" s="45">
        <v>731701</v>
      </c>
      <c r="B64" s="46"/>
      <c r="C64" s="46" t="s">
        <v>334</v>
      </c>
      <c r="D64" s="3">
        <v>1</v>
      </c>
    </row>
    <row r="65" spans="1:4" x14ac:dyDescent="0.25">
      <c r="A65" s="105">
        <v>731712</v>
      </c>
      <c r="B65" s="103"/>
      <c r="C65" s="106" t="s">
        <v>335</v>
      </c>
      <c r="D65" s="47">
        <v>1</v>
      </c>
    </row>
    <row r="66" spans="1:4" x14ac:dyDescent="0.25">
      <c r="A66" s="105">
        <v>734920</v>
      </c>
      <c r="B66" s="100"/>
      <c r="C66" s="106" t="s">
        <v>365</v>
      </c>
      <c r="D66" s="47">
        <v>1</v>
      </c>
    </row>
    <row r="67" spans="1:4" x14ac:dyDescent="0.25">
      <c r="A67" s="107">
        <v>734628</v>
      </c>
      <c r="B67" s="103"/>
      <c r="C67" s="104" t="s">
        <v>366</v>
      </c>
      <c r="D67" s="47">
        <v>1</v>
      </c>
    </row>
    <row r="68" spans="1:4" x14ac:dyDescent="0.25">
      <c r="A68" s="36">
        <v>733362</v>
      </c>
      <c r="B68" s="100"/>
      <c r="C68" s="106" t="s">
        <v>367</v>
      </c>
      <c r="D68" s="47">
        <v>1</v>
      </c>
    </row>
    <row r="69" spans="1:4" x14ac:dyDescent="0.25">
      <c r="A69" s="105">
        <v>733361</v>
      </c>
      <c r="B69" s="100"/>
      <c r="C69" s="106" t="s">
        <v>368</v>
      </c>
      <c r="D69" s="47">
        <v>1</v>
      </c>
    </row>
    <row r="70" spans="1:4" x14ac:dyDescent="0.25">
      <c r="A70" s="105">
        <v>734261</v>
      </c>
      <c r="B70" s="100"/>
      <c r="C70" s="106" t="s">
        <v>369</v>
      </c>
      <c r="D70" s="47">
        <v>1</v>
      </c>
    </row>
    <row r="71" spans="1:4" x14ac:dyDescent="0.25">
      <c r="A71" s="105">
        <v>736851</v>
      </c>
      <c r="B71" s="100"/>
      <c r="C71" s="106" t="s">
        <v>417</v>
      </c>
      <c r="D71" s="47">
        <v>1</v>
      </c>
    </row>
    <row r="72" spans="1:4" x14ac:dyDescent="0.25">
      <c r="A72" s="105">
        <v>737579</v>
      </c>
      <c r="B72" s="100"/>
      <c r="C72" s="106" t="s">
        <v>430</v>
      </c>
      <c r="D72" s="35">
        <v>1</v>
      </c>
    </row>
    <row r="73" spans="1:4" x14ac:dyDescent="0.25">
      <c r="A73" s="105">
        <v>739686</v>
      </c>
      <c r="B73" s="100"/>
      <c r="C73" s="106" t="s">
        <v>468</v>
      </c>
      <c r="D73" s="35">
        <v>1</v>
      </c>
    </row>
    <row r="74" spans="1:4" x14ac:dyDescent="0.25">
      <c r="A74" s="105">
        <v>738519</v>
      </c>
      <c r="B74" s="106" t="s">
        <v>493</v>
      </c>
      <c r="C74" s="106" t="s">
        <v>494</v>
      </c>
      <c r="D74" s="35">
        <v>1</v>
      </c>
    </row>
    <row r="75" spans="1:4" x14ac:dyDescent="0.25">
      <c r="A75" s="36"/>
      <c r="B75" s="78"/>
      <c r="C75" s="38"/>
      <c r="D75" s="35"/>
    </row>
    <row r="76" spans="1:4" s="52" customFormat="1" x14ac:dyDescent="0.25">
      <c r="A76" s="48"/>
      <c r="B76" s="49"/>
      <c r="C76" s="50"/>
      <c r="D76" s="51"/>
    </row>
    <row r="77" spans="1:4" x14ac:dyDescent="0.25">
      <c r="A77" s="40" t="s">
        <v>55</v>
      </c>
      <c r="B77" s="26"/>
      <c r="C77" s="23"/>
    </row>
    <row r="78" spans="1:4" x14ac:dyDescent="0.25">
      <c r="A78" s="19">
        <v>423353</v>
      </c>
      <c r="B78" s="19" t="s">
        <v>56</v>
      </c>
      <c r="C78" s="19" t="s">
        <v>57</v>
      </c>
      <c r="D78" s="3">
        <v>1</v>
      </c>
    </row>
    <row r="79" spans="1:4" x14ac:dyDescent="0.25">
      <c r="A79" s="21">
        <v>673853</v>
      </c>
      <c r="B79" s="14" t="s">
        <v>58</v>
      </c>
      <c r="C79" s="21" t="s">
        <v>59</v>
      </c>
      <c r="D79" s="3">
        <v>1</v>
      </c>
    </row>
    <row r="80" spans="1:4" x14ac:dyDescent="0.25">
      <c r="A80" s="21">
        <v>518045</v>
      </c>
      <c r="B80" s="14" t="s">
        <v>362</v>
      </c>
      <c r="C80" s="21" t="s">
        <v>363</v>
      </c>
      <c r="D80" s="3">
        <v>2</v>
      </c>
    </row>
    <row r="81" spans="1:4" x14ac:dyDescent="0.25">
      <c r="A81" s="26"/>
      <c r="B81" s="26"/>
      <c r="C81" s="26"/>
    </row>
    <row r="82" spans="1:4" x14ac:dyDescent="0.25">
      <c r="A82" s="53" t="s">
        <v>60</v>
      </c>
      <c r="B82" s="26"/>
      <c r="C82" s="26"/>
    </row>
    <row r="83" spans="1:4" x14ac:dyDescent="0.25">
      <c r="A83" s="44">
        <v>451768</v>
      </c>
      <c r="B83" s="19" t="s">
        <v>61</v>
      </c>
      <c r="C83" s="44" t="s">
        <v>62</v>
      </c>
      <c r="D83" s="3">
        <v>0</v>
      </c>
    </row>
    <row r="84" spans="1:4" x14ac:dyDescent="0.25">
      <c r="A84" s="44">
        <v>451770</v>
      </c>
      <c r="B84" s="19" t="s">
        <v>63</v>
      </c>
      <c r="C84" s="44" t="s">
        <v>64</v>
      </c>
      <c r="D84" s="3">
        <v>1</v>
      </c>
    </row>
    <row r="85" spans="1:4" x14ac:dyDescent="0.25">
      <c r="A85" s="28">
        <v>673738</v>
      </c>
      <c r="B85" s="19" t="s">
        <v>65</v>
      </c>
      <c r="C85" s="31" t="s">
        <v>66</v>
      </c>
      <c r="D85" s="3">
        <v>1</v>
      </c>
    </row>
    <row r="86" spans="1:4" x14ac:dyDescent="0.25">
      <c r="A86" s="32">
        <v>730000</v>
      </c>
      <c r="B86" s="33" t="s">
        <v>67</v>
      </c>
      <c r="C86" s="33" t="s">
        <v>68</v>
      </c>
      <c r="D86" s="3">
        <v>1</v>
      </c>
    </row>
    <row r="87" spans="1:4" x14ac:dyDescent="0.25">
      <c r="A87" s="32">
        <v>730001</v>
      </c>
      <c r="B87" s="33" t="s">
        <v>69</v>
      </c>
      <c r="C87" s="33" t="s">
        <v>70</v>
      </c>
      <c r="D87" s="3">
        <v>1</v>
      </c>
    </row>
    <row r="88" spans="1:4" x14ac:dyDescent="0.25">
      <c r="A88" s="44">
        <v>513145</v>
      </c>
      <c r="B88" s="19" t="s">
        <v>71</v>
      </c>
      <c r="C88" s="44" t="s">
        <v>72</v>
      </c>
      <c r="D88" s="3">
        <v>2</v>
      </c>
    </row>
    <row r="89" spans="1:4" x14ac:dyDescent="0.25">
      <c r="A89" s="29">
        <v>451769</v>
      </c>
      <c r="B89" s="14" t="s">
        <v>345</v>
      </c>
      <c r="C89" s="14" t="s">
        <v>352</v>
      </c>
      <c r="D89" s="3">
        <v>0</v>
      </c>
    </row>
    <row r="90" spans="1:4" x14ac:dyDescent="0.25">
      <c r="A90" s="29">
        <v>735642</v>
      </c>
      <c r="B90" s="14"/>
      <c r="C90" s="14" t="s">
        <v>454</v>
      </c>
      <c r="D90" s="3">
        <v>1</v>
      </c>
    </row>
    <row r="91" spans="1:4" x14ac:dyDescent="0.25">
      <c r="A91" s="29">
        <v>739684</v>
      </c>
      <c r="B91" s="14"/>
      <c r="C91" s="14" t="s">
        <v>469</v>
      </c>
      <c r="D91" s="3">
        <v>0</v>
      </c>
    </row>
    <row r="92" spans="1:4" x14ac:dyDescent="0.25">
      <c r="A92" s="23"/>
      <c r="B92" s="26"/>
      <c r="C92" s="23"/>
    </row>
    <row r="93" spans="1:4" x14ac:dyDescent="0.25">
      <c r="A93" s="40" t="s">
        <v>73</v>
      </c>
      <c r="B93" s="26"/>
      <c r="C93" s="23"/>
    </row>
    <row r="94" spans="1:4" x14ac:dyDescent="0.25">
      <c r="A94" s="19">
        <v>573857</v>
      </c>
      <c r="B94" s="19" t="s">
        <v>74</v>
      </c>
      <c r="C94" s="19" t="s">
        <v>75</v>
      </c>
      <c r="D94" s="3">
        <v>2</v>
      </c>
    </row>
    <row r="95" spans="1:4" x14ac:dyDescent="0.25">
      <c r="A95" s="32">
        <v>513714</v>
      </c>
      <c r="B95" s="33" t="s">
        <v>76</v>
      </c>
      <c r="C95" s="33" t="s">
        <v>77</v>
      </c>
      <c r="D95" s="3">
        <v>2</v>
      </c>
    </row>
    <row r="96" spans="1:4" x14ac:dyDescent="0.25">
      <c r="A96" s="32">
        <v>513715</v>
      </c>
      <c r="B96" s="33" t="s">
        <v>78</v>
      </c>
      <c r="C96" s="33" t="s">
        <v>79</v>
      </c>
      <c r="D96" s="3">
        <v>2</v>
      </c>
    </row>
    <row r="97" spans="1:4" x14ac:dyDescent="0.25">
      <c r="A97" s="54">
        <v>680794</v>
      </c>
      <c r="B97" s="15" t="s">
        <v>80</v>
      </c>
      <c r="C97" s="21" t="s">
        <v>81</v>
      </c>
      <c r="D97" s="3">
        <v>2</v>
      </c>
    </row>
    <row r="98" spans="1:4" x14ac:dyDescent="0.25">
      <c r="A98" s="54">
        <v>739979</v>
      </c>
      <c r="B98" s="15"/>
      <c r="C98" s="21" t="s">
        <v>478</v>
      </c>
      <c r="D98" s="3">
        <v>2</v>
      </c>
    </row>
    <row r="99" spans="1:4" x14ac:dyDescent="0.25">
      <c r="A99" s="54">
        <v>740011</v>
      </c>
      <c r="B99" s="15"/>
      <c r="C99" s="21" t="s">
        <v>479</v>
      </c>
      <c r="D99" s="3">
        <v>2</v>
      </c>
    </row>
    <row r="100" spans="1:4" x14ac:dyDescent="0.25">
      <c r="A100" s="26"/>
      <c r="B100" s="26"/>
      <c r="C100" s="26"/>
    </row>
    <row r="101" spans="1:4" x14ac:dyDescent="0.25">
      <c r="A101" s="53" t="s">
        <v>82</v>
      </c>
      <c r="B101" s="26"/>
      <c r="C101" s="26"/>
    </row>
    <row r="102" spans="1:4" x14ac:dyDescent="0.25">
      <c r="A102" s="32">
        <v>512147</v>
      </c>
      <c r="B102" s="33" t="s">
        <v>83</v>
      </c>
      <c r="C102" s="33" t="s">
        <v>84</v>
      </c>
      <c r="D102" s="3">
        <v>2</v>
      </c>
    </row>
    <row r="103" spans="1:4" x14ac:dyDescent="0.25">
      <c r="A103" s="32">
        <v>512145</v>
      </c>
      <c r="B103" s="33" t="s">
        <v>85</v>
      </c>
      <c r="C103" s="33" t="s">
        <v>86</v>
      </c>
      <c r="D103" s="3">
        <v>2</v>
      </c>
    </row>
    <row r="104" spans="1:4" x14ac:dyDescent="0.25">
      <c r="A104" s="29">
        <v>663554</v>
      </c>
      <c r="B104" s="29" t="s">
        <v>87</v>
      </c>
      <c r="C104" s="29" t="s">
        <v>88</v>
      </c>
      <c r="D104" s="3">
        <v>2</v>
      </c>
    </row>
    <row r="105" spans="1:4" x14ac:dyDescent="0.25">
      <c r="A105" s="28">
        <v>663555</v>
      </c>
      <c r="B105" s="29" t="s">
        <v>89</v>
      </c>
      <c r="C105" s="30" t="s">
        <v>90</v>
      </c>
      <c r="D105" s="3">
        <v>2</v>
      </c>
    </row>
    <row r="106" spans="1:4" x14ac:dyDescent="0.25">
      <c r="A106" s="21">
        <v>728253</v>
      </c>
      <c r="B106" s="29" t="s">
        <v>91</v>
      </c>
      <c r="C106" s="21" t="s">
        <v>92</v>
      </c>
      <c r="D106" s="3">
        <v>2</v>
      </c>
    </row>
    <row r="107" spans="1:4" x14ac:dyDescent="0.25">
      <c r="A107" s="19">
        <v>555439</v>
      </c>
      <c r="B107" s="19" t="s">
        <v>93</v>
      </c>
      <c r="C107" s="19" t="s">
        <v>94</v>
      </c>
      <c r="D107" s="3">
        <v>2</v>
      </c>
    </row>
    <row r="108" spans="1:4" x14ac:dyDescent="0.25">
      <c r="A108" s="19">
        <v>555441</v>
      </c>
      <c r="B108" s="19" t="s">
        <v>93</v>
      </c>
      <c r="C108" s="19" t="s">
        <v>95</v>
      </c>
      <c r="D108" s="3">
        <v>2</v>
      </c>
    </row>
    <row r="109" spans="1:4" x14ac:dyDescent="0.25">
      <c r="A109" s="19">
        <v>375179</v>
      </c>
      <c r="B109" s="19" t="s">
        <v>96</v>
      </c>
      <c r="C109" s="19" t="s">
        <v>96</v>
      </c>
      <c r="D109" s="3">
        <v>1</v>
      </c>
    </row>
    <row r="110" spans="1:4" x14ac:dyDescent="0.25">
      <c r="A110" s="19">
        <v>375251</v>
      </c>
      <c r="B110" s="19" t="s">
        <v>97</v>
      </c>
      <c r="C110" s="19" t="s">
        <v>98</v>
      </c>
      <c r="D110" s="3">
        <v>1</v>
      </c>
    </row>
    <row r="111" spans="1:4" x14ac:dyDescent="0.25">
      <c r="A111" s="19">
        <v>375252</v>
      </c>
      <c r="B111" s="19" t="s">
        <v>99</v>
      </c>
      <c r="C111" s="19" t="s">
        <v>99</v>
      </c>
      <c r="D111" s="3">
        <v>0</v>
      </c>
    </row>
    <row r="112" spans="1:4" x14ac:dyDescent="0.25">
      <c r="A112" s="19">
        <v>375253</v>
      </c>
      <c r="B112" s="19" t="s">
        <v>100</v>
      </c>
      <c r="C112" s="19" t="s">
        <v>100</v>
      </c>
      <c r="D112" s="3">
        <v>0</v>
      </c>
    </row>
    <row r="113" spans="1:4" x14ac:dyDescent="0.25">
      <c r="A113" s="19">
        <v>375254</v>
      </c>
      <c r="B113" s="19" t="s">
        <v>101</v>
      </c>
      <c r="C113" s="19" t="s">
        <v>102</v>
      </c>
      <c r="D113" s="3">
        <v>0</v>
      </c>
    </row>
    <row r="114" spans="1:4" x14ac:dyDescent="0.25">
      <c r="A114" s="19">
        <v>375255</v>
      </c>
      <c r="B114" s="19" t="s">
        <v>103</v>
      </c>
      <c r="C114" s="19" t="s">
        <v>103</v>
      </c>
      <c r="D114" s="3">
        <v>0</v>
      </c>
    </row>
    <row r="115" spans="1:4" x14ac:dyDescent="0.25">
      <c r="A115" s="19">
        <v>375256</v>
      </c>
      <c r="B115" s="19" t="s">
        <v>104</v>
      </c>
      <c r="C115" s="19" t="s">
        <v>104</v>
      </c>
      <c r="D115" s="3">
        <v>0</v>
      </c>
    </row>
    <row r="116" spans="1:4" x14ac:dyDescent="0.25">
      <c r="A116" s="19">
        <v>375257</v>
      </c>
      <c r="B116" s="19" t="s">
        <v>105</v>
      </c>
      <c r="C116" s="19" t="s">
        <v>105</v>
      </c>
      <c r="D116" s="3">
        <v>0</v>
      </c>
    </row>
    <row r="117" spans="1:4" x14ac:dyDescent="0.25">
      <c r="A117" s="105">
        <v>731713</v>
      </c>
      <c r="B117" s="103"/>
      <c r="C117" s="106" t="s">
        <v>370</v>
      </c>
      <c r="D117" s="47">
        <v>2</v>
      </c>
    </row>
    <row r="118" spans="1:4" x14ac:dyDescent="0.25">
      <c r="A118" s="105">
        <v>731718</v>
      </c>
      <c r="B118" s="100"/>
      <c r="C118" s="106" t="s">
        <v>340</v>
      </c>
      <c r="D118" s="47">
        <v>2</v>
      </c>
    </row>
    <row r="119" spans="1:4" x14ac:dyDescent="0.25">
      <c r="A119" s="105">
        <v>737578</v>
      </c>
      <c r="B119" s="100"/>
      <c r="C119" s="106" t="s">
        <v>431</v>
      </c>
      <c r="D119" s="35">
        <v>2</v>
      </c>
    </row>
    <row r="120" spans="1:4" x14ac:dyDescent="0.25">
      <c r="A120" s="105">
        <v>737804</v>
      </c>
      <c r="B120" s="100"/>
      <c r="C120" s="106" t="s">
        <v>432</v>
      </c>
      <c r="D120" s="35">
        <v>2</v>
      </c>
    </row>
    <row r="121" spans="1:4" x14ac:dyDescent="0.25">
      <c r="A121" s="105">
        <v>735200</v>
      </c>
      <c r="B121" s="100"/>
      <c r="C121" s="106" t="s">
        <v>470</v>
      </c>
      <c r="D121" s="35">
        <v>1</v>
      </c>
    </row>
    <row r="122" spans="1:4" x14ac:dyDescent="0.25">
      <c r="A122" s="105">
        <v>735659</v>
      </c>
      <c r="B122" s="100"/>
      <c r="C122" s="106" t="s">
        <v>471</v>
      </c>
      <c r="D122" s="35">
        <v>2</v>
      </c>
    </row>
    <row r="123" spans="1:4" x14ac:dyDescent="0.25">
      <c r="A123" s="105">
        <v>740223</v>
      </c>
      <c r="B123" s="100"/>
      <c r="C123" s="106" t="s">
        <v>495</v>
      </c>
      <c r="D123" s="35">
        <v>2</v>
      </c>
    </row>
    <row r="124" spans="1:4" x14ac:dyDescent="0.25">
      <c r="A124" s="105">
        <v>740224</v>
      </c>
      <c r="B124" s="100"/>
      <c r="C124" s="106" t="s">
        <v>496</v>
      </c>
      <c r="D124" s="35">
        <v>2</v>
      </c>
    </row>
    <row r="125" spans="1:4" x14ac:dyDescent="0.25">
      <c r="A125" s="43"/>
      <c r="B125" s="43"/>
      <c r="C125" s="43"/>
    </row>
    <row r="126" spans="1:4" x14ac:dyDescent="0.25">
      <c r="A126" s="55" t="s">
        <v>106</v>
      </c>
      <c r="B126" s="26"/>
      <c r="C126" s="27"/>
    </row>
    <row r="127" spans="1:4" x14ac:dyDescent="0.25">
      <c r="A127" s="56">
        <v>685813</v>
      </c>
      <c r="B127" s="19" t="s">
        <v>107</v>
      </c>
      <c r="C127" s="31" t="s">
        <v>108</v>
      </c>
      <c r="D127" s="3">
        <v>0</v>
      </c>
    </row>
    <row r="128" spans="1:4" x14ac:dyDescent="0.25">
      <c r="A128" s="19">
        <v>498314</v>
      </c>
      <c r="B128" s="19" t="s">
        <v>107</v>
      </c>
      <c r="C128" s="19" t="s">
        <v>109</v>
      </c>
      <c r="D128" s="3">
        <v>0</v>
      </c>
    </row>
    <row r="129" spans="1:4" x14ac:dyDescent="0.25">
      <c r="A129" s="21">
        <v>728259</v>
      </c>
      <c r="B129" s="14" t="s">
        <v>110</v>
      </c>
      <c r="C129" s="21" t="s">
        <v>111</v>
      </c>
      <c r="D129" s="3">
        <v>0</v>
      </c>
    </row>
    <row r="130" spans="1:4" x14ac:dyDescent="0.25">
      <c r="A130" s="19">
        <v>577491</v>
      </c>
      <c r="B130" s="19" t="s">
        <v>112</v>
      </c>
      <c r="C130" s="19" t="s">
        <v>113</v>
      </c>
      <c r="D130" s="3">
        <v>0</v>
      </c>
    </row>
    <row r="131" spans="1:4" x14ac:dyDescent="0.25">
      <c r="A131" s="57">
        <v>682719</v>
      </c>
      <c r="B131" s="19" t="s">
        <v>114</v>
      </c>
      <c r="C131" s="31" t="s">
        <v>115</v>
      </c>
      <c r="D131" s="3">
        <v>0</v>
      </c>
    </row>
    <row r="132" spans="1:4" x14ac:dyDescent="0.25">
      <c r="A132" s="58">
        <v>732749</v>
      </c>
      <c r="B132" s="15"/>
      <c r="C132" s="59" t="s">
        <v>116</v>
      </c>
      <c r="D132" s="3">
        <v>0</v>
      </c>
    </row>
    <row r="133" spans="1:4" x14ac:dyDescent="0.25">
      <c r="A133" s="19">
        <v>565728</v>
      </c>
      <c r="B133" s="19" t="s">
        <v>117</v>
      </c>
      <c r="C133" s="19" t="s">
        <v>118</v>
      </c>
      <c r="D133" s="3">
        <v>0</v>
      </c>
    </row>
    <row r="134" spans="1:4" x14ac:dyDescent="0.25">
      <c r="A134" s="19">
        <v>577490</v>
      </c>
      <c r="B134" s="19" t="s">
        <v>119</v>
      </c>
      <c r="C134" s="19" t="s">
        <v>120</v>
      </c>
      <c r="D134" s="3">
        <v>0</v>
      </c>
    </row>
    <row r="135" spans="1:4" x14ac:dyDescent="0.25">
      <c r="A135" s="60">
        <v>491727</v>
      </c>
      <c r="B135" s="19" t="s">
        <v>121</v>
      </c>
      <c r="C135" s="44" t="s">
        <v>122</v>
      </c>
      <c r="D135" s="3">
        <v>1</v>
      </c>
    </row>
    <row r="136" spans="1:4" x14ac:dyDescent="0.25">
      <c r="A136" s="28">
        <v>673842</v>
      </c>
      <c r="B136" s="19" t="s">
        <v>123</v>
      </c>
      <c r="C136" s="31" t="s">
        <v>124</v>
      </c>
      <c r="D136" s="3">
        <v>0</v>
      </c>
    </row>
    <row r="137" spans="1:4" x14ac:dyDescent="0.25">
      <c r="A137" s="21">
        <v>730993</v>
      </c>
      <c r="B137" s="14" t="s">
        <v>123</v>
      </c>
      <c r="C137" s="21" t="s">
        <v>125</v>
      </c>
      <c r="D137" s="3">
        <v>0</v>
      </c>
    </row>
    <row r="138" spans="1:4" x14ac:dyDescent="0.25">
      <c r="A138" s="60">
        <v>491725</v>
      </c>
      <c r="B138" s="19" t="s">
        <v>126</v>
      </c>
      <c r="C138" s="44" t="s">
        <v>127</v>
      </c>
      <c r="D138" s="3">
        <v>1</v>
      </c>
    </row>
    <row r="139" spans="1:4" x14ac:dyDescent="0.25">
      <c r="A139" s="32">
        <v>559642</v>
      </c>
      <c r="B139" s="33" t="s">
        <v>128</v>
      </c>
      <c r="C139" s="33" t="s">
        <v>129</v>
      </c>
      <c r="D139" s="3">
        <v>0</v>
      </c>
    </row>
    <row r="140" spans="1:4" x14ac:dyDescent="0.25">
      <c r="A140" s="19">
        <v>577334</v>
      </c>
      <c r="B140" s="19" t="s">
        <v>128</v>
      </c>
      <c r="C140" s="19" t="s">
        <v>130</v>
      </c>
      <c r="D140" s="3">
        <v>0</v>
      </c>
    </row>
    <row r="141" spans="1:4" x14ac:dyDescent="0.25">
      <c r="A141" s="28">
        <v>673874</v>
      </c>
      <c r="B141" s="29" t="s">
        <v>131</v>
      </c>
      <c r="C141" s="28" t="s">
        <v>132</v>
      </c>
      <c r="D141" s="3">
        <v>2</v>
      </c>
    </row>
    <row r="142" spans="1:4" x14ac:dyDescent="0.25">
      <c r="A142" s="41">
        <v>673875</v>
      </c>
      <c r="B142" s="61" t="s">
        <v>346</v>
      </c>
      <c r="C142" s="42" t="s">
        <v>353</v>
      </c>
      <c r="D142" s="3">
        <v>2</v>
      </c>
    </row>
    <row r="143" spans="1:4" ht="18" customHeight="1" x14ac:dyDescent="0.25">
      <c r="A143" s="62">
        <v>564027</v>
      </c>
      <c r="B143" s="63" t="s">
        <v>133</v>
      </c>
      <c r="C143" s="63" t="s">
        <v>134</v>
      </c>
      <c r="D143" s="3">
        <v>1</v>
      </c>
    </row>
    <row r="144" spans="1:4" ht="18" customHeight="1" x14ac:dyDescent="0.25">
      <c r="A144" s="62">
        <v>673892</v>
      </c>
      <c r="B144" s="63"/>
      <c r="C144" s="63" t="s">
        <v>385</v>
      </c>
      <c r="D144" s="3">
        <v>2</v>
      </c>
    </row>
    <row r="145" spans="1:4" ht="18" customHeight="1" x14ac:dyDescent="0.25">
      <c r="A145" s="105">
        <v>731700</v>
      </c>
      <c r="B145" s="100"/>
      <c r="C145" s="106" t="s">
        <v>336</v>
      </c>
      <c r="D145" s="47">
        <v>0</v>
      </c>
    </row>
    <row r="146" spans="1:4" ht="18" customHeight="1" x14ac:dyDescent="0.25">
      <c r="A146" s="107">
        <v>733351</v>
      </c>
      <c r="B146" s="103"/>
      <c r="C146" s="104" t="s">
        <v>371</v>
      </c>
      <c r="D146" s="47">
        <v>0</v>
      </c>
    </row>
    <row r="147" spans="1:4" ht="18" customHeight="1" x14ac:dyDescent="0.25">
      <c r="A147" s="107">
        <v>733355</v>
      </c>
      <c r="B147" s="103"/>
      <c r="C147" s="104" t="s">
        <v>453</v>
      </c>
      <c r="D147" s="22">
        <v>2</v>
      </c>
    </row>
    <row r="148" spans="1:4" ht="18" customHeight="1" x14ac:dyDescent="0.25">
      <c r="A148" s="107">
        <v>740211</v>
      </c>
      <c r="B148" s="103"/>
      <c r="C148" s="104" t="s">
        <v>492</v>
      </c>
      <c r="D148" s="22">
        <v>2</v>
      </c>
    </row>
    <row r="149" spans="1:4" ht="18" customHeight="1" x14ac:dyDescent="0.25">
      <c r="A149" s="107">
        <v>741592</v>
      </c>
      <c r="B149" s="103"/>
      <c r="C149" s="104" t="s">
        <v>522</v>
      </c>
      <c r="D149" s="22">
        <v>0</v>
      </c>
    </row>
    <row r="150" spans="1:4" ht="18" customHeight="1" x14ac:dyDescent="0.25">
      <c r="A150" s="64"/>
      <c r="B150" s="65"/>
      <c r="C150" s="65"/>
    </row>
    <row r="151" spans="1:4" x14ac:dyDescent="0.25">
      <c r="A151" s="53" t="s">
        <v>135</v>
      </c>
      <c r="B151" s="26"/>
      <c r="C151" s="26"/>
    </row>
    <row r="152" spans="1:4" x14ac:dyDescent="0.25">
      <c r="A152" s="44">
        <v>443177</v>
      </c>
      <c r="B152" s="19" t="s">
        <v>136</v>
      </c>
      <c r="C152" s="44" t="s">
        <v>137</v>
      </c>
      <c r="D152" s="3">
        <v>0</v>
      </c>
    </row>
    <row r="153" spans="1:4" x14ac:dyDescent="0.25">
      <c r="A153" s="44">
        <v>507326</v>
      </c>
      <c r="B153" s="19" t="s">
        <v>138</v>
      </c>
      <c r="C153" s="44" t="s">
        <v>139</v>
      </c>
      <c r="D153" s="3">
        <v>0</v>
      </c>
    </row>
    <row r="154" spans="1:4" x14ac:dyDescent="0.25">
      <c r="A154" s="44">
        <v>443180</v>
      </c>
      <c r="B154" s="19" t="s">
        <v>140</v>
      </c>
      <c r="C154" s="44" t="s">
        <v>141</v>
      </c>
      <c r="D154" s="3">
        <v>0</v>
      </c>
    </row>
    <row r="155" spans="1:4" x14ac:dyDescent="0.25">
      <c r="A155" s="44">
        <v>443178</v>
      </c>
      <c r="B155" s="19" t="s">
        <v>142</v>
      </c>
      <c r="C155" s="44" t="s">
        <v>143</v>
      </c>
      <c r="D155" s="3">
        <v>0</v>
      </c>
    </row>
    <row r="156" spans="1:4" x14ac:dyDescent="0.25">
      <c r="A156" s="44">
        <v>443181</v>
      </c>
      <c r="B156" s="19" t="s">
        <v>140</v>
      </c>
      <c r="C156" s="44" t="s">
        <v>144</v>
      </c>
      <c r="D156" s="3">
        <v>0</v>
      </c>
    </row>
    <row r="157" spans="1:4" x14ac:dyDescent="0.25">
      <c r="A157" s="44">
        <v>507325</v>
      </c>
      <c r="B157" s="19" t="s">
        <v>145</v>
      </c>
      <c r="C157" s="44" t="s">
        <v>146</v>
      </c>
      <c r="D157" s="3">
        <v>0</v>
      </c>
    </row>
    <row r="158" spans="1:4" x14ac:dyDescent="0.25">
      <c r="A158" s="19">
        <v>507347</v>
      </c>
      <c r="B158" s="19" t="s">
        <v>147</v>
      </c>
      <c r="C158" s="19" t="s">
        <v>148</v>
      </c>
      <c r="D158" s="3">
        <v>0</v>
      </c>
    </row>
    <row r="159" spans="1:4" x14ac:dyDescent="0.25">
      <c r="A159" s="19">
        <v>507346</v>
      </c>
      <c r="B159" s="19" t="s">
        <v>147</v>
      </c>
      <c r="C159" s="19" t="s">
        <v>149</v>
      </c>
      <c r="D159" s="3">
        <v>0</v>
      </c>
    </row>
    <row r="160" spans="1:4" x14ac:dyDescent="0.25">
      <c r="A160" s="19">
        <v>507348</v>
      </c>
      <c r="B160" s="19" t="s">
        <v>147</v>
      </c>
      <c r="C160" s="19" t="s">
        <v>150</v>
      </c>
      <c r="D160" s="3">
        <v>0</v>
      </c>
    </row>
    <row r="161" spans="1:4" x14ac:dyDescent="0.25">
      <c r="A161" s="66">
        <v>673858</v>
      </c>
      <c r="B161" s="67"/>
      <c r="C161" s="34" t="s">
        <v>359</v>
      </c>
      <c r="D161" s="68">
        <v>3</v>
      </c>
    </row>
    <row r="162" spans="1:4" x14ac:dyDescent="0.25">
      <c r="A162" s="69">
        <v>733342</v>
      </c>
      <c r="B162" s="34"/>
      <c r="C162" s="34" t="s">
        <v>360</v>
      </c>
      <c r="D162" s="68">
        <v>0</v>
      </c>
    </row>
    <row r="163" spans="1:4" x14ac:dyDescent="0.25">
      <c r="A163" s="116">
        <v>735776</v>
      </c>
      <c r="B163" s="117"/>
      <c r="C163" s="116" t="s">
        <v>402</v>
      </c>
      <c r="D163" s="68">
        <v>0</v>
      </c>
    </row>
    <row r="164" spans="1:4" x14ac:dyDescent="0.25">
      <c r="A164" s="116">
        <v>735779</v>
      </c>
      <c r="B164" s="118"/>
      <c r="C164" s="116" t="s">
        <v>403</v>
      </c>
      <c r="D164" s="68">
        <v>0</v>
      </c>
    </row>
    <row r="165" spans="1:4" x14ac:dyDescent="0.25">
      <c r="A165" s="116">
        <v>735775</v>
      </c>
      <c r="B165" s="118"/>
      <c r="C165" s="116" t="s">
        <v>404</v>
      </c>
      <c r="D165" s="68">
        <v>0</v>
      </c>
    </row>
    <row r="166" spans="1:4" x14ac:dyDescent="0.25">
      <c r="A166" s="116">
        <v>733357</v>
      </c>
      <c r="B166" s="118"/>
      <c r="C166" s="116" t="s">
        <v>405</v>
      </c>
      <c r="D166" s="68">
        <v>0</v>
      </c>
    </row>
    <row r="167" spans="1:4" x14ac:dyDescent="0.25">
      <c r="A167" s="116">
        <v>735771</v>
      </c>
      <c r="B167" s="118"/>
      <c r="C167" s="116" t="s">
        <v>406</v>
      </c>
      <c r="D167" s="68">
        <v>0</v>
      </c>
    </row>
    <row r="168" spans="1:4" x14ac:dyDescent="0.25">
      <c r="A168" s="116">
        <v>735773</v>
      </c>
      <c r="B168" s="118"/>
      <c r="C168" s="116" t="s">
        <v>407</v>
      </c>
      <c r="D168" s="68">
        <v>0</v>
      </c>
    </row>
    <row r="169" spans="1:4" x14ac:dyDescent="0.25">
      <c r="A169" s="116">
        <v>735774</v>
      </c>
      <c r="B169" s="118"/>
      <c r="C169" s="116" t="s">
        <v>408</v>
      </c>
      <c r="D169" s="68">
        <v>0</v>
      </c>
    </row>
    <row r="170" spans="1:4" x14ac:dyDescent="0.25">
      <c r="A170" s="116">
        <v>735777</v>
      </c>
      <c r="B170" s="118"/>
      <c r="C170" s="116" t="s">
        <v>409</v>
      </c>
      <c r="D170" s="68">
        <v>0</v>
      </c>
    </row>
    <row r="171" spans="1:4" x14ac:dyDescent="0.25">
      <c r="A171" s="116">
        <v>735778</v>
      </c>
      <c r="B171" s="118"/>
      <c r="C171" s="116" t="s">
        <v>410</v>
      </c>
      <c r="D171" s="68">
        <v>0</v>
      </c>
    </row>
    <row r="172" spans="1:4" x14ac:dyDescent="0.25">
      <c r="A172" s="116">
        <v>735643</v>
      </c>
      <c r="B172" s="118"/>
      <c r="C172" s="116" t="s">
        <v>411</v>
      </c>
      <c r="D172" s="68">
        <v>0</v>
      </c>
    </row>
    <row r="173" spans="1:4" x14ac:dyDescent="0.25">
      <c r="A173" s="116">
        <v>735645</v>
      </c>
      <c r="B173" s="118"/>
      <c r="C173" s="116" t="s">
        <v>412</v>
      </c>
      <c r="D173" s="68">
        <v>2</v>
      </c>
    </row>
    <row r="174" spans="1:4" x14ac:dyDescent="0.25">
      <c r="A174" s="116">
        <v>740209</v>
      </c>
      <c r="B174" s="118"/>
      <c r="C174" s="116" t="s">
        <v>497</v>
      </c>
      <c r="D174" s="68">
        <v>0</v>
      </c>
    </row>
    <row r="175" spans="1:4" x14ac:dyDescent="0.25">
      <c r="A175" s="23"/>
      <c r="B175" s="23"/>
      <c r="C175" s="24"/>
    </row>
    <row r="176" spans="1:4" x14ac:dyDescent="0.25">
      <c r="A176" s="40" t="s">
        <v>151</v>
      </c>
      <c r="B176" s="26"/>
      <c r="C176" s="24"/>
    </row>
    <row r="177" spans="1:4" x14ac:dyDescent="0.25">
      <c r="A177" s="56">
        <v>664340</v>
      </c>
      <c r="B177" s="19" t="s">
        <v>152</v>
      </c>
      <c r="C177" s="31" t="s">
        <v>153</v>
      </c>
      <c r="D177" s="3">
        <v>2</v>
      </c>
    </row>
    <row r="178" spans="1:4" x14ac:dyDescent="0.25">
      <c r="A178" s="19">
        <v>562496</v>
      </c>
      <c r="B178" s="19" t="s">
        <v>154</v>
      </c>
      <c r="C178" s="19" t="s">
        <v>155</v>
      </c>
      <c r="D178" s="3">
        <v>2</v>
      </c>
    </row>
    <row r="179" spans="1:4" x14ac:dyDescent="0.25">
      <c r="A179" s="19">
        <v>347066</v>
      </c>
      <c r="B179" s="19" t="s">
        <v>156</v>
      </c>
      <c r="C179" s="19" t="s">
        <v>157</v>
      </c>
      <c r="D179" s="3">
        <v>0</v>
      </c>
    </row>
    <row r="180" spans="1:4" x14ac:dyDescent="0.25">
      <c r="A180" s="19">
        <v>569087</v>
      </c>
      <c r="B180" s="19" t="s">
        <v>156</v>
      </c>
      <c r="C180" s="19" t="s">
        <v>158</v>
      </c>
      <c r="D180" s="3">
        <v>0</v>
      </c>
    </row>
    <row r="181" spans="1:4" x14ac:dyDescent="0.25">
      <c r="A181" s="19">
        <v>347064</v>
      </c>
      <c r="B181" s="19" t="s">
        <v>156</v>
      </c>
      <c r="C181" s="19" t="s">
        <v>159</v>
      </c>
      <c r="D181" s="3">
        <v>0</v>
      </c>
    </row>
    <row r="182" spans="1:4" x14ac:dyDescent="0.25">
      <c r="A182" s="23"/>
      <c r="B182" s="23"/>
      <c r="C182" s="23"/>
    </row>
    <row r="183" spans="1:4" x14ac:dyDescent="0.25">
      <c r="A183" s="40" t="s">
        <v>160</v>
      </c>
      <c r="B183" s="26"/>
      <c r="C183" s="24"/>
    </row>
    <row r="184" spans="1:4" x14ac:dyDescent="0.25">
      <c r="A184" s="19">
        <v>493059</v>
      </c>
      <c r="B184" s="19" t="s">
        <v>161</v>
      </c>
      <c r="C184" s="70" t="s">
        <v>162</v>
      </c>
      <c r="D184" s="3">
        <v>0</v>
      </c>
    </row>
    <row r="185" spans="1:4" x14ac:dyDescent="0.25">
      <c r="A185" s="19">
        <v>514397</v>
      </c>
      <c r="B185" s="19" t="s">
        <v>163</v>
      </c>
      <c r="C185" s="19" t="s">
        <v>164</v>
      </c>
      <c r="D185" s="3">
        <v>1</v>
      </c>
    </row>
    <row r="186" spans="1:4" x14ac:dyDescent="0.25">
      <c r="A186" s="13">
        <v>734951</v>
      </c>
      <c r="B186" s="100"/>
      <c r="C186" s="101" t="s">
        <v>372</v>
      </c>
      <c r="D186" s="47">
        <v>2</v>
      </c>
    </row>
    <row r="187" spans="1:4" x14ac:dyDescent="0.25">
      <c r="A187" s="119">
        <v>737211</v>
      </c>
      <c r="B187" s="114"/>
      <c r="C187" s="120" t="s">
        <v>413</v>
      </c>
      <c r="D187" s="47">
        <v>1</v>
      </c>
    </row>
    <row r="188" spans="1:4" x14ac:dyDescent="0.25">
      <c r="A188" s="23"/>
      <c r="B188" s="23"/>
      <c r="C188" s="23"/>
    </row>
    <row r="189" spans="1:4" x14ac:dyDescent="0.25">
      <c r="A189" s="40" t="s">
        <v>165</v>
      </c>
      <c r="B189" s="26"/>
      <c r="C189" s="23"/>
    </row>
    <row r="190" spans="1:4" x14ac:dyDescent="0.25">
      <c r="A190" s="28">
        <v>673846</v>
      </c>
      <c r="B190" s="19" t="s">
        <v>166</v>
      </c>
      <c r="C190" s="19" t="s">
        <v>167</v>
      </c>
      <c r="D190" s="3">
        <v>2</v>
      </c>
    </row>
    <row r="191" spans="1:4" x14ac:dyDescent="0.25">
      <c r="A191" s="71">
        <v>672184</v>
      </c>
      <c r="B191" s="19" t="s">
        <v>168</v>
      </c>
      <c r="C191" s="19" t="s">
        <v>169</v>
      </c>
      <c r="D191" s="3">
        <v>2</v>
      </c>
    </row>
    <row r="192" spans="1:4" x14ac:dyDescent="0.25">
      <c r="A192" s="19">
        <v>347045</v>
      </c>
      <c r="B192" s="19" t="s">
        <v>170</v>
      </c>
      <c r="C192" s="19" t="s">
        <v>171</v>
      </c>
      <c r="D192" s="3">
        <v>2</v>
      </c>
    </row>
    <row r="193" spans="1:4" x14ac:dyDescent="0.25">
      <c r="A193" s="19">
        <v>565724</v>
      </c>
      <c r="B193" s="19" t="s">
        <v>172</v>
      </c>
      <c r="C193" s="19" t="s">
        <v>173</v>
      </c>
      <c r="D193" s="3">
        <v>2</v>
      </c>
    </row>
    <row r="194" spans="1:4" x14ac:dyDescent="0.25">
      <c r="A194" s="102">
        <v>734331</v>
      </c>
      <c r="B194" s="103"/>
      <c r="C194" s="104" t="s">
        <v>373</v>
      </c>
      <c r="D194" s="47">
        <v>2</v>
      </c>
    </row>
    <row r="195" spans="1:4" x14ac:dyDescent="0.25">
      <c r="A195" s="23"/>
      <c r="B195" s="26"/>
      <c r="C195" s="23"/>
    </row>
    <row r="196" spans="1:4" x14ac:dyDescent="0.25">
      <c r="A196" s="40" t="s">
        <v>174</v>
      </c>
      <c r="B196" s="26"/>
      <c r="C196" s="23"/>
    </row>
    <row r="197" spans="1:4" x14ac:dyDescent="0.25">
      <c r="A197" s="72">
        <v>673862</v>
      </c>
      <c r="B197" s="19" t="s">
        <v>175</v>
      </c>
      <c r="C197" s="19" t="s">
        <v>176</v>
      </c>
      <c r="D197" s="3">
        <v>1</v>
      </c>
    </row>
    <row r="198" spans="1:4" x14ac:dyDescent="0.25">
      <c r="A198" s="19">
        <v>284329</v>
      </c>
      <c r="B198" s="19" t="s">
        <v>177</v>
      </c>
      <c r="C198" s="19" t="s">
        <v>178</v>
      </c>
      <c r="D198" s="3">
        <v>1</v>
      </c>
    </row>
    <row r="199" spans="1:4" x14ac:dyDescent="0.25">
      <c r="A199" s="19">
        <v>284331</v>
      </c>
      <c r="B199" s="19" t="s">
        <v>177</v>
      </c>
      <c r="C199" s="19" t="s">
        <v>179</v>
      </c>
      <c r="D199" s="3">
        <v>1</v>
      </c>
    </row>
    <row r="200" spans="1:4" x14ac:dyDescent="0.25">
      <c r="A200" s="19">
        <v>735662</v>
      </c>
      <c r="B200" s="19"/>
      <c r="C200" s="19" t="s">
        <v>472</v>
      </c>
      <c r="D200" s="3">
        <v>0</v>
      </c>
    </row>
    <row r="201" spans="1:4" x14ac:dyDescent="0.25">
      <c r="A201" s="23"/>
      <c r="B201" s="26"/>
      <c r="C201" s="23"/>
    </row>
    <row r="202" spans="1:4" x14ac:dyDescent="0.25">
      <c r="A202" s="40" t="s">
        <v>180</v>
      </c>
      <c r="B202" s="26"/>
      <c r="C202" s="23"/>
    </row>
    <row r="203" spans="1:4" x14ac:dyDescent="0.25">
      <c r="A203" s="32">
        <v>497994</v>
      </c>
      <c r="B203" s="33" t="s">
        <v>181</v>
      </c>
      <c r="C203" s="33" t="s">
        <v>182</v>
      </c>
      <c r="D203" s="3">
        <v>0</v>
      </c>
    </row>
    <row r="204" spans="1:4" x14ac:dyDescent="0.25">
      <c r="A204" s="57">
        <v>685815</v>
      </c>
      <c r="B204" s="19" t="s">
        <v>183</v>
      </c>
      <c r="C204" s="31" t="s">
        <v>184</v>
      </c>
      <c r="D204" s="3">
        <v>0</v>
      </c>
    </row>
    <row r="205" spans="1:4" x14ac:dyDescent="0.25">
      <c r="A205" s="57">
        <v>685814</v>
      </c>
      <c r="B205" s="19" t="s">
        <v>183</v>
      </c>
      <c r="C205" s="31" t="s">
        <v>185</v>
      </c>
      <c r="D205" s="3">
        <v>0</v>
      </c>
    </row>
    <row r="206" spans="1:4" x14ac:dyDescent="0.25">
      <c r="A206" s="41">
        <v>508750</v>
      </c>
      <c r="B206" s="42" t="s">
        <v>347</v>
      </c>
      <c r="C206" s="42" t="s">
        <v>354</v>
      </c>
      <c r="D206" s="3">
        <v>1</v>
      </c>
    </row>
    <row r="207" spans="1:4" x14ac:dyDescent="0.25">
      <c r="A207" s="62">
        <v>559640</v>
      </c>
      <c r="B207" s="63" t="s">
        <v>186</v>
      </c>
      <c r="C207" s="63" t="s">
        <v>187</v>
      </c>
      <c r="D207" s="3">
        <v>1</v>
      </c>
    </row>
    <row r="208" spans="1:4" x14ac:dyDescent="0.25">
      <c r="A208" s="57">
        <v>629908</v>
      </c>
      <c r="B208" s="19" t="s">
        <v>188</v>
      </c>
      <c r="C208" s="31" t="s">
        <v>189</v>
      </c>
      <c r="D208" s="3">
        <v>1</v>
      </c>
    </row>
    <row r="209" spans="1:4" x14ac:dyDescent="0.25">
      <c r="A209" s="21">
        <v>728258</v>
      </c>
      <c r="B209" s="14" t="s">
        <v>190</v>
      </c>
      <c r="C209" s="21" t="s">
        <v>191</v>
      </c>
      <c r="D209" s="3">
        <v>0</v>
      </c>
    </row>
    <row r="210" spans="1:4" x14ac:dyDescent="0.25">
      <c r="A210" s="32">
        <v>549234</v>
      </c>
      <c r="B210" s="33" t="s">
        <v>192</v>
      </c>
      <c r="C210" s="33" t="s">
        <v>193</v>
      </c>
      <c r="D210" s="3">
        <v>1</v>
      </c>
    </row>
    <row r="211" spans="1:4" x14ac:dyDescent="0.25">
      <c r="A211" s="19">
        <v>577493</v>
      </c>
      <c r="B211" s="19" t="s">
        <v>194</v>
      </c>
      <c r="C211" s="19" t="s">
        <v>195</v>
      </c>
      <c r="D211" s="3">
        <v>0</v>
      </c>
    </row>
    <row r="212" spans="1:4" x14ac:dyDescent="0.25">
      <c r="A212" s="29">
        <v>577336</v>
      </c>
      <c r="B212" s="29" t="s">
        <v>196</v>
      </c>
      <c r="C212" s="29" t="s">
        <v>197</v>
      </c>
      <c r="D212" s="3">
        <v>0</v>
      </c>
    </row>
    <row r="213" spans="1:4" x14ac:dyDescent="0.25">
      <c r="A213" s="19">
        <v>577531</v>
      </c>
      <c r="B213" s="19" t="s">
        <v>198</v>
      </c>
      <c r="C213" s="19" t="s">
        <v>199</v>
      </c>
      <c r="D213" s="3">
        <v>1</v>
      </c>
    </row>
    <row r="214" spans="1:4" x14ac:dyDescent="0.25">
      <c r="A214" s="58">
        <v>732748</v>
      </c>
      <c r="B214" s="29"/>
      <c r="C214" s="73" t="s">
        <v>200</v>
      </c>
      <c r="D214" s="3">
        <v>1</v>
      </c>
    </row>
    <row r="215" spans="1:4" x14ac:dyDescent="0.25">
      <c r="A215" s="105">
        <v>731697</v>
      </c>
      <c r="B215" s="100"/>
      <c r="C215" s="106" t="s">
        <v>338</v>
      </c>
      <c r="D215" s="47">
        <v>1</v>
      </c>
    </row>
    <row r="216" spans="1:4" x14ac:dyDescent="0.25">
      <c r="A216" s="105">
        <v>731698</v>
      </c>
      <c r="B216" s="103"/>
      <c r="C216" s="106" t="s">
        <v>337</v>
      </c>
      <c r="D216" s="47">
        <v>1</v>
      </c>
    </row>
    <row r="217" spans="1:4" x14ac:dyDescent="0.25">
      <c r="A217" s="105">
        <v>737894</v>
      </c>
      <c r="B217" s="103"/>
      <c r="C217" s="106" t="s">
        <v>433</v>
      </c>
      <c r="D217" s="35">
        <v>0</v>
      </c>
    </row>
    <row r="218" spans="1:4" x14ac:dyDescent="0.25">
      <c r="A218" s="105">
        <v>736991</v>
      </c>
      <c r="B218" s="103"/>
      <c r="C218" s="106" t="s">
        <v>434</v>
      </c>
      <c r="D218" s="35">
        <v>0</v>
      </c>
    </row>
    <row r="219" spans="1:4" x14ac:dyDescent="0.25">
      <c r="A219" s="105">
        <v>738363</v>
      </c>
      <c r="B219" s="103"/>
      <c r="C219" s="106" t="s">
        <v>450</v>
      </c>
      <c r="D219" s="35">
        <v>0</v>
      </c>
    </row>
    <row r="220" spans="1:4" x14ac:dyDescent="0.25">
      <c r="A220" s="105">
        <v>731081</v>
      </c>
      <c r="B220" s="121" t="s">
        <v>461</v>
      </c>
      <c r="C220" s="106" t="s">
        <v>460</v>
      </c>
      <c r="D220" s="35">
        <v>0</v>
      </c>
    </row>
    <row r="221" spans="1:4" x14ac:dyDescent="0.25">
      <c r="A221" s="105">
        <v>740214</v>
      </c>
      <c r="B221" s="121"/>
      <c r="C221" s="106" t="s">
        <v>473</v>
      </c>
      <c r="D221" s="35">
        <v>0</v>
      </c>
    </row>
    <row r="222" spans="1:4" x14ac:dyDescent="0.25">
      <c r="A222" s="105">
        <v>735598</v>
      </c>
      <c r="B222" s="121"/>
      <c r="C222" s="106" t="s">
        <v>474</v>
      </c>
      <c r="D222" s="35">
        <v>0</v>
      </c>
    </row>
    <row r="223" spans="1:4" x14ac:dyDescent="0.25">
      <c r="A223" s="105">
        <v>739182</v>
      </c>
      <c r="B223" s="121"/>
      <c r="C223" s="106" t="s">
        <v>475</v>
      </c>
      <c r="D223" s="35">
        <v>0</v>
      </c>
    </row>
    <row r="224" spans="1:4" x14ac:dyDescent="0.25">
      <c r="A224" s="105">
        <v>739690</v>
      </c>
      <c r="B224" s="121"/>
      <c r="C224" s="106" t="s">
        <v>476</v>
      </c>
      <c r="D224" s="35">
        <v>0</v>
      </c>
    </row>
    <row r="225" spans="1:4" x14ac:dyDescent="0.25">
      <c r="A225" s="105">
        <v>739461</v>
      </c>
      <c r="B225" s="121"/>
      <c r="C225" s="106" t="s">
        <v>477</v>
      </c>
      <c r="D225" s="35">
        <v>0</v>
      </c>
    </row>
    <row r="226" spans="1:4" x14ac:dyDescent="0.25">
      <c r="A226" s="105">
        <v>738060</v>
      </c>
      <c r="B226" s="121"/>
      <c r="C226" s="106" t="s">
        <v>498</v>
      </c>
      <c r="D226" s="35">
        <v>0</v>
      </c>
    </row>
    <row r="227" spans="1:4" x14ac:dyDescent="0.25">
      <c r="A227" s="105">
        <v>549231</v>
      </c>
      <c r="B227" s="121"/>
      <c r="C227" s="106" t="s">
        <v>499</v>
      </c>
      <c r="D227" s="35">
        <v>1</v>
      </c>
    </row>
    <row r="228" spans="1:4" x14ac:dyDescent="0.25">
      <c r="A228" s="23"/>
      <c r="B228" s="23"/>
      <c r="C228" s="23"/>
    </row>
    <row r="229" spans="1:4" x14ac:dyDescent="0.25">
      <c r="A229" s="40" t="s">
        <v>201</v>
      </c>
      <c r="B229" s="23"/>
      <c r="C229" s="23"/>
    </row>
    <row r="230" spans="1:4" x14ac:dyDescent="0.25">
      <c r="A230" s="19">
        <v>362806</v>
      </c>
      <c r="B230" s="19" t="s">
        <v>202</v>
      </c>
      <c r="C230" s="19" t="s">
        <v>203</v>
      </c>
      <c r="D230" s="3">
        <v>0</v>
      </c>
    </row>
    <row r="231" spans="1:4" x14ac:dyDescent="0.25">
      <c r="A231" s="57">
        <v>636408</v>
      </c>
      <c r="B231" s="19" t="s">
        <v>204</v>
      </c>
      <c r="C231" s="31" t="s">
        <v>205</v>
      </c>
      <c r="D231" s="3">
        <v>2</v>
      </c>
    </row>
    <row r="232" spans="1:4" x14ac:dyDescent="0.25">
      <c r="A232" s="105">
        <v>734952</v>
      </c>
      <c r="B232" s="100"/>
      <c r="C232" s="106" t="s">
        <v>374</v>
      </c>
      <c r="D232" s="47">
        <v>0</v>
      </c>
    </row>
    <row r="233" spans="1:4" x14ac:dyDescent="0.25">
      <c r="A233" s="105">
        <v>735433</v>
      </c>
      <c r="B233" s="100"/>
      <c r="C233" s="106" t="s">
        <v>375</v>
      </c>
      <c r="D233" s="47">
        <v>0</v>
      </c>
    </row>
    <row r="234" spans="1:4" x14ac:dyDescent="0.25">
      <c r="A234" s="105">
        <v>737434</v>
      </c>
      <c r="B234" s="100"/>
      <c r="C234" s="106" t="s">
        <v>435</v>
      </c>
      <c r="D234" s="35">
        <v>2</v>
      </c>
    </row>
    <row r="235" spans="1:4" x14ac:dyDescent="0.25">
      <c r="A235" s="23"/>
      <c r="B235" s="23"/>
      <c r="C235" s="23"/>
    </row>
    <row r="236" spans="1:4" x14ac:dyDescent="0.25">
      <c r="A236" s="40" t="s">
        <v>206</v>
      </c>
      <c r="B236" s="26"/>
      <c r="C236" s="23"/>
    </row>
    <row r="237" spans="1:4" x14ac:dyDescent="0.25">
      <c r="A237" s="19">
        <v>579493</v>
      </c>
      <c r="B237" s="19" t="s">
        <v>207</v>
      </c>
      <c r="C237" s="19" t="s">
        <v>208</v>
      </c>
      <c r="D237" s="3">
        <v>0</v>
      </c>
    </row>
    <row r="238" spans="1:4" x14ac:dyDescent="0.25">
      <c r="A238" s="19">
        <v>575809</v>
      </c>
      <c r="B238" s="19" t="s">
        <v>207</v>
      </c>
      <c r="C238" s="19" t="s">
        <v>209</v>
      </c>
      <c r="D238" s="3">
        <v>0</v>
      </c>
    </row>
    <row r="239" spans="1:4" x14ac:dyDescent="0.25">
      <c r="A239" s="19">
        <v>575718</v>
      </c>
      <c r="B239" s="19" t="s">
        <v>210</v>
      </c>
      <c r="C239" s="19" t="s">
        <v>211</v>
      </c>
      <c r="D239" s="3">
        <v>0</v>
      </c>
    </row>
    <row r="240" spans="1:4" x14ac:dyDescent="0.25">
      <c r="A240" s="107">
        <v>731714</v>
      </c>
      <c r="B240" s="103"/>
      <c r="C240" s="104" t="s">
        <v>341</v>
      </c>
      <c r="D240" s="47">
        <v>0</v>
      </c>
    </row>
    <row r="241" spans="1:4" x14ac:dyDescent="0.25">
      <c r="A241" s="107">
        <v>731716</v>
      </c>
      <c r="B241" s="103"/>
      <c r="C241" s="104" t="s">
        <v>332</v>
      </c>
      <c r="D241" s="47">
        <v>0</v>
      </c>
    </row>
    <row r="242" spans="1:4" x14ac:dyDescent="0.25">
      <c r="A242" s="107">
        <v>739464</v>
      </c>
      <c r="B242" s="103"/>
      <c r="C242" s="104" t="s">
        <v>526</v>
      </c>
      <c r="D242" s="47">
        <v>0</v>
      </c>
    </row>
    <row r="243" spans="1:4" x14ac:dyDescent="0.25">
      <c r="A243" s="107">
        <v>739429</v>
      </c>
      <c r="B243" s="103"/>
      <c r="C243" s="104" t="s">
        <v>527</v>
      </c>
      <c r="D243" s="47">
        <v>0</v>
      </c>
    </row>
    <row r="244" spans="1:4" x14ac:dyDescent="0.25">
      <c r="A244" s="23"/>
      <c r="B244" s="26"/>
      <c r="C244" s="23"/>
    </row>
    <row r="245" spans="1:4" x14ac:dyDescent="0.25">
      <c r="A245" s="40" t="s">
        <v>212</v>
      </c>
      <c r="B245" s="26"/>
      <c r="C245" s="23"/>
    </row>
    <row r="246" spans="1:4" x14ac:dyDescent="0.25">
      <c r="A246" s="19">
        <v>566815</v>
      </c>
      <c r="B246" s="19" t="s">
        <v>213</v>
      </c>
      <c r="C246" s="19" t="s">
        <v>214</v>
      </c>
      <c r="D246" s="3">
        <v>2</v>
      </c>
    </row>
    <row r="247" spans="1:4" x14ac:dyDescent="0.25">
      <c r="A247" s="28">
        <v>629665</v>
      </c>
      <c r="B247" s="29" t="s">
        <v>215</v>
      </c>
      <c r="C247" s="28" t="s">
        <v>216</v>
      </c>
      <c r="D247" s="3">
        <v>2</v>
      </c>
    </row>
    <row r="248" spans="1:4" x14ac:dyDescent="0.25">
      <c r="A248" s="28">
        <v>737197</v>
      </c>
      <c r="B248" s="29"/>
      <c r="C248" s="28" t="s">
        <v>436</v>
      </c>
      <c r="D248" s="22">
        <v>2</v>
      </c>
    </row>
    <row r="249" spans="1:4" x14ac:dyDescent="0.25">
      <c r="A249" s="28">
        <v>741962</v>
      </c>
      <c r="B249" s="29"/>
      <c r="C249" s="28" t="s">
        <v>523</v>
      </c>
      <c r="D249" s="22">
        <v>2</v>
      </c>
    </row>
    <row r="250" spans="1:4" x14ac:dyDescent="0.25">
      <c r="A250" s="28">
        <v>896878</v>
      </c>
      <c r="B250" s="29"/>
      <c r="C250" s="28" t="s">
        <v>524</v>
      </c>
      <c r="D250" s="22">
        <v>2</v>
      </c>
    </row>
    <row r="251" spans="1:4" x14ac:dyDescent="0.25">
      <c r="A251" s="28">
        <v>596879</v>
      </c>
      <c r="B251" s="29"/>
      <c r="C251" s="28" t="s">
        <v>525</v>
      </c>
      <c r="D251" s="22">
        <v>2</v>
      </c>
    </row>
    <row r="252" spans="1:4" x14ac:dyDescent="0.25">
      <c r="A252" s="23"/>
      <c r="B252" s="26"/>
      <c r="C252" s="23"/>
    </row>
    <row r="253" spans="1:4" x14ac:dyDescent="0.25">
      <c r="A253" s="40" t="s">
        <v>217</v>
      </c>
      <c r="B253" s="26"/>
      <c r="C253" s="23"/>
    </row>
    <row r="254" spans="1:4" x14ac:dyDescent="0.25">
      <c r="A254" s="19">
        <v>255897</v>
      </c>
      <c r="B254" s="19" t="s">
        <v>218</v>
      </c>
      <c r="C254" s="19" t="s">
        <v>219</v>
      </c>
      <c r="D254" s="3">
        <v>2</v>
      </c>
    </row>
    <row r="255" spans="1:4" x14ac:dyDescent="0.25">
      <c r="A255" s="23"/>
      <c r="B255" s="26"/>
      <c r="C255" s="23"/>
    </row>
    <row r="256" spans="1:4" x14ac:dyDescent="0.25">
      <c r="A256" s="40" t="s">
        <v>220</v>
      </c>
      <c r="B256" s="26"/>
      <c r="C256" s="23"/>
    </row>
    <row r="257" spans="1:4" x14ac:dyDescent="0.25">
      <c r="A257" s="28">
        <v>623850</v>
      </c>
      <c r="B257" s="29" t="s">
        <v>221</v>
      </c>
      <c r="C257" s="28" t="s">
        <v>222</v>
      </c>
      <c r="D257" s="3">
        <v>2</v>
      </c>
    </row>
    <row r="258" spans="1:4" x14ac:dyDescent="0.25">
      <c r="A258" s="19">
        <v>567596</v>
      </c>
      <c r="B258" s="19" t="s">
        <v>223</v>
      </c>
      <c r="C258" s="19" t="s">
        <v>224</v>
      </c>
      <c r="D258" s="3">
        <v>2</v>
      </c>
    </row>
    <row r="259" spans="1:4" x14ac:dyDescent="0.25">
      <c r="A259" s="19">
        <v>574791</v>
      </c>
      <c r="B259" s="19" t="s">
        <v>225</v>
      </c>
      <c r="C259" s="19" t="s">
        <v>226</v>
      </c>
      <c r="D259" s="3">
        <v>2</v>
      </c>
    </row>
    <row r="260" spans="1:4" x14ac:dyDescent="0.25">
      <c r="A260" s="28">
        <v>728268</v>
      </c>
      <c r="B260" s="29"/>
      <c r="C260" s="28" t="s">
        <v>227</v>
      </c>
      <c r="D260" s="3">
        <v>2</v>
      </c>
    </row>
    <row r="261" spans="1:4" x14ac:dyDescent="0.25">
      <c r="A261" s="19">
        <v>568211</v>
      </c>
      <c r="B261" s="19" t="s">
        <v>228</v>
      </c>
      <c r="C261" s="19" t="s">
        <v>229</v>
      </c>
      <c r="D261" s="3">
        <v>2</v>
      </c>
    </row>
    <row r="262" spans="1:4" x14ac:dyDescent="0.25">
      <c r="A262" s="41">
        <v>728267</v>
      </c>
      <c r="B262" s="61" t="s">
        <v>348</v>
      </c>
      <c r="C262" s="42" t="s">
        <v>356</v>
      </c>
      <c r="D262" s="74">
        <v>2</v>
      </c>
    </row>
    <row r="263" spans="1:4" x14ac:dyDescent="0.25">
      <c r="A263" s="29">
        <v>685645</v>
      </c>
      <c r="B263" s="15"/>
      <c r="C263" s="29" t="s">
        <v>230</v>
      </c>
      <c r="D263" s="3">
        <v>2</v>
      </c>
    </row>
    <row r="264" spans="1:4" x14ac:dyDescent="0.25">
      <c r="A264" s="28">
        <v>678521</v>
      </c>
      <c r="B264" s="19" t="s">
        <v>231</v>
      </c>
      <c r="C264" s="31" t="s">
        <v>232</v>
      </c>
      <c r="D264" s="3">
        <v>2</v>
      </c>
    </row>
    <row r="265" spans="1:4" x14ac:dyDescent="0.25">
      <c r="A265" s="28">
        <v>686152</v>
      </c>
      <c r="B265" s="19" t="s">
        <v>231</v>
      </c>
      <c r="C265" s="31" t="s">
        <v>233</v>
      </c>
      <c r="D265" s="3">
        <v>2</v>
      </c>
    </row>
    <row r="266" spans="1:4" x14ac:dyDescent="0.25">
      <c r="A266" s="28">
        <v>678490</v>
      </c>
      <c r="B266" s="19" t="s">
        <v>234</v>
      </c>
      <c r="C266" s="31" t="s">
        <v>235</v>
      </c>
      <c r="D266" s="3">
        <v>2</v>
      </c>
    </row>
    <row r="267" spans="1:4" x14ac:dyDescent="0.25">
      <c r="A267" s="28">
        <v>678491</v>
      </c>
      <c r="B267" s="19" t="s">
        <v>234</v>
      </c>
      <c r="C267" s="31" t="s">
        <v>236</v>
      </c>
      <c r="D267" s="3">
        <v>2</v>
      </c>
    </row>
    <row r="268" spans="1:4" x14ac:dyDescent="0.25">
      <c r="A268" s="29">
        <v>731456</v>
      </c>
      <c r="B268" s="15"/>
      <c r="C268" s="75" t="s">
        <v>237</v>
      </c>
      <c r="D268" s="3">
        <v>2</v>
      </c>
    </row>
    <row r="269" spans="1:4" x14ac:dyDescent="0.25">
      <c r="A269" s="29">
        <v>731459</v>
      </c>
      <c r="B269" s="15"/>
      <c r="C269" s="75" t="s">
        <v>238</v>
      </c>
      <c r="D269" s="3">
        <v>2</v>
      </c>
    </row>
    <row r="270" spans="1:4" x14ac:dyDescent="0.25">
      <c r="A270" s="28">
        <v>678487</v>
      </c>
      <c r="B270" s="19" t="s">
        <v>239</v>
      </c>
      <c r="C270" s="31" t="s">
        <v>240</v>
      </c>
      <c r="D270" s="3">
        <v>2</v>
      </c>
    </row>
    <row r="271" spans="1:4" x14ac:dyDescent="0.25">
      <c r="A271" s="28">
        <v>678488</v>
      </c>
      <c r="B271" s="19" t="s">
        <v>239</v>
      </c>
      <c r="C271" s="31" t="s">
        <v>241</v>
      </c>
      <c r="D271" s="3">
        <v>2</v>
      </c>
    </row>
    <row r="272" spans="1:4" x14ac:dyDescent="0.25">
      <c r="A272" s="28">
        <v>731476</v>
      </c>
      <c r="B272" s="15"/>
      <c r="C272" s="75" t="s">
        <v>242</v>
      </c>
      <c r="D272" s="3">
        <v>2</v>
      </c>
    </row>
    <row r="273" spans="1:4" x14ac:dyDescent="0.25">
      <c r="A273" s="28">
        <v>731477</v>
      </c>
      <c r="B273" s="15"/>
      <c r="C273" s="75" t="s">
        <v>243</v>
      </c>
      <c r="D273" s="3">
        <v>2</v>
      </c>
    </row>
    <row r="274" spans="1:4" x14ac:dyDescent="0.25">
      <c r="A274" s="28">
        <v>678489</v>
      </c>
      <c r="B274" s="19" t="s">
        <v>239</v>
      </c>
      <c r="C274" s="31" t="s">
        <v>244</v>
      </c>
      <c r="D274" s="3">
        <v>2</v>
      </c>
    </row>
    <row r="275" spans="1:4" x14ac:dyDescent="0.25">
      <c r="A275" s="28">
        <v>731478</v>
      </c>
      <c r="B275" s="15"/>
      <c r="C275" s="75" t="s">
        <v>245</v>
      </c>
      <c r="D275" s="3">
        <v>2</v>
      </c>
    </row>
    <row r="276" spans="1:4" x14ac:dyDescent="0.25">
      <c r="A276" s="28">
        <v>731467</v>
      </c>
      <c r="B276" s="15"/>
      <c r="C276" s="75" t="s">
        <v>246</v>
      </c>
      <c r="D276" s="3">
        <v>2</v>
      </c>
    </row>
    <row r="277" spans="1:4" x14ac:dyDescent="0.25">
      <c r="A277" s="29">
        <v>731885</v>
      </c>
      <c r="B277" s="15"/>
      <c r="C277" s="29" t="s">
        <v>247</v>
      </c>
      <c r="D277" s="3">
        <v>2</v>
      </c>
    </row>
    <row r="278" spans="1:4" x14ac:dyDescent="0.25">
      <c r="A278" s="28">
        <v>685618</v>
      </c>
      <c r="B278" s="19" t="s">
        <v>248</v>
      </c>
      <c r="C278" s="31" t="s">
        <v>249</v>
      </c>
      <c r="D278" s="3">
        <v>2</v>
      </c>
    </row>
    <row r="279" spans="1:4" x14ac:dyDescent="0.25">
      <c r="A279" s="28">
        <v>731851</v>
      </c>
      <c r="B279" s="15"/>
      <c r="C279" s="75" t="s">
        <v>250</v>
      </c>
      <c r="D279" s="3">
        <v>2</v>
      </c>
    </row>
    <row r="280" spans="1:4" x14ac:dyDescent="0.25">
      <c r="A280" s="28">
        <v>731884</v>
      </c>
      <c r="B280" s="15"/>
      <c r="C280" s="75" t="s">
        <v>251</v>
      </c>
      <c r="D280" s="3">
        <v>2</v>
      </c>
    </row>
    <row r="281" spans="1:4" x14ac:dyDescent="0.25">
      <c r="A281" s="28">
        <v>678534</v>
      </c>
      <c r="B281" s="15"/>
      <c r="C281" s="75" t="s">
        <v>252</v>
      </c>
      <c r="D281" s="3">
        <v>2</v>
      </c>
    </row>
    <row r="282" spans="1:4" x14ac:dyDescent="0.25">
      <c r="A282" s="21">
        <v>678536</v>
      </c>
      <c r="B282" s="14" t="s">
        <v>253</v>
      </c>
      <c r="C282" s="21" t="s">
        <v>254</v>
      </c>
      <c r="D282" s="3">
        <v>2</v>
      </c>
    </row>
    <row r="283" spans="1:4" ht="25.5" x14ac:dyDescent="0.25">
      <c r="A283" s="21">
        <v>678533</v>
      </c>
      <c r="B283" s="14" t="s">
        <v>255</v>
      </c>
      <c r="C283" s="76" t="s">
        <v>256</v>
      </c>
      <c r="D283" s="3">
        <v>2</v>
      </c>
    </row>
    <row r="284" spans="1:4" x14ac:dyDescent="0.25">
      <c r="A284" s="69">
        <v>685644</v>
      </c>
      <c r="B284" s="34"/>
      <c r="C284" s="34" t="s">
        <v>355</v>
      </c>
      <c r="D284" s="74">
        <v>2</v>
      </c>
    </row>
    <row r="285" spans="1:4" x14ac:dyDescent="0.25">
      <c r="A285" s="69">
        <v>731465</v>
      </c>
      <c r="B285" s="34"/>
      <c r="C285" s="14" t="s">
        <v>357</v>
      </c>
      <c r="D285" s="74">
        <v>2</v>
      </c>
    </row>
    <row r="286" spans="1:4" x14ac:dyDescent="0.25">
      <c r="A286" s="69">
        <v>678535</v>
      </c>
      <c r="B286" s="34"/>
      <c r="C286" s="34" t="s">
        <v>358</v>
      </c>
      <c r="D286" s="74">
        <v>2</v>
      </c>
    </row>
    <row r="287" spans="1:4" x14ac:dyDescent="0.25">
      <c r="A287" s="19">
        <v>570741</v>
      </c>
      <c r="B287" s="19" t="s">
        <v>156</v>
      </c>
      <c r="C287" s="19" t="s">
        <v>257</v>
      </c>
    </row>
    <row r="288" spans="1:4" x14ac:dyDescent="0.25">
      <c r="A288" s="19">
        <v>570742</v>
      </c>
      <c r="B288" s="19" t="s">
        <v>156</v>
      </c>
      <c r="C288" s="19" t="s">
        <v>258</v>
      </c>
    </row>
    <row r="289" spans="1:10" x14ac:dyDescent="0.25">
      <c r="A289" s="19">
        <v>570743</v>
      </c>
      <c r="B289" s="19" t="s">
        <v>156</v>
      </c>
      <c r="C289" s="19" t="s">
        <v>259</v>
      </c>
    </row>
    <row r="290" spans="1:10" x14ac:dyDescent="0.25">
      <c r="A290" s="19">
        <v>570731</v>
      </c>
      <c r="B290" s="19" t="s">
        <v>156</v>
      </c>
      <c r="C290" s="19" t="s">
        <v>260</v>
      </c>
    </row>
    <row r="291" spans="1:10" x14ac:dyDescent="0.25">
      <c r="A291" s="19">
        <v>570732</v>
      </c>
      <c r="B291" s="19" t="s">
        <v>156</v>
      </c>
      <c r="C291" s="19" t="s">
        <v>261</v>
      </c>
    </row>
    <row r="292" spans="1:10" x14ac:dyDescent="0.25">
      <c r="A292" s="19">
        <v>570733</v>
      </c>
      <c r="B292" s="19" t="s">
        <v>156</v>
      </c>
      <c r="C292" s="19" t="s">
        <v>262</v>
      </c>
    </row>
    <row r="293" spans="1:10" x14ac:dyDescent="0.25">
      <c r="A293" s="19">
        <v>570734</v>
      </c>
      <c r="B293" s="19" t="s">
        <v>156</v>
      </c>
      <c r="C293" s="19" t="s">
        <v>263</v>
      </c>
    </row>
    <row r="294" spans="1:10" x14ac:dyDescent="0.25">
      <c r="A294" s="19">
        <v>570735</v>
      </c>
      <c r="B294" s="19" t="s">
        <v>156</v>
      </c>
      <c r="C294" s="19" t="s">
        <v>264</v>
      </c>
    </row>
    <row r="295" spans="1:10" x14ac:dyDescent="0.25">
      <c r="A295" s="19">
        <v>731959</v>
      </c>
      <c r="B295" s="19"/>
      <c r="C295" s="19" t="s">
        <v>386</v>
      </c>
      <c r="D295" s="3">
        <v>3</v>
      </c>
    </row>
    <row r="296" spans="1:10" x14ac:dyDescent="0.25">
      <c r="A296" s="107">
        <v>735396</v>
      </c>
      <c r="B296" s="100"/>
      <c r="C296" s="104" t="s">
        <v>376</v>
      </c>
      <c r="D296" s="47">
        <v>2</v>
      </c>
    </row>
    <row r="297" spans="1:10" x14ac:dyDescent="0.25">
      <c r="A297" s="107">
        <v>734540</v>
      </c>
      <c r="B297" s="100"/>
      <c r="C297" s="104" t="s">
        <v>377</v>
      </c>
      <c r="D297" s="47">
        <v>2</v>
      </c>
    </row>
    <row r="298" spans="1:10" x14ac:dyDescent="0.25">
      <c r="A298" s="107">
        <v>678532</v>
      </c>
      <c r="B298" s="100"/>
      <c r="C298" s="104" t="s">
        <v>378</v>
      </c>
      <c r="D298" s="47">
        <v>2</v>
      </c>
    </row>
    <row r="299" spans="1:10" s="39" customFormat="1" x14ac:dyDescent="0.25">
      <c r="A299" s="21">
        <v>730636</v>
      </c>
      <c r="B299" s="100"/>
      <c r="C299" s="15" t="s">
        <v>379</v>
      </c>
      <c r="D299" s="47">
        <v>0</v>
      </c>
    </row>
    <row r="300" spans="1:10" s="39" customFormat="1" x14ac:dyDescent="0.25">
      <c r="A300" s="21">
        <v>736202</v>
      </c>
      <c r="B300" s="100"/>
      <c r="C300" s="15" t="s">
        <v>437</v>
      </c>
      <c r="D300" s="35">
        <v>3</v>
      </c>
    </row>
    <row r="301" spans="1:10" s="39" customFormat="1" x14ac:dyDescent="0.25">
      <c r="A301" s="21">
        <v>737807</v>
      </c>
      <c r="B301" s="100"/>
      <c r="C301" s="15" t="s">
        <v>438</v>
      </c>
      <c r="D301" s="35">
        <v>3</v>
      </c>
      <c r="J301" s="122"/>
    </row>
    <row r="302" spans="1:10" s="39" customFormat="1" x14ac:dyDescent="0.25">
      <c r="A302" s="21">
        <v>735663</v>
      </c>
      <c r="B302" s="100"/>
      <c r="C302" s="15" t="s">
        <v>439</v>
      </c>
      <c r="D302" s="35">
        <v>3</v>
      </c>
    </row>
    <row r="303" spans="1:10" s="39" customFormat="1" x14ac:dyDescent="0.25">
      <c r="A303" s="21">
        <v>737198</v>
      </c>
      <c r="B303" s="100"/>
      <c r="C303" s="15" t="s">
        <v>440</v>
      </c>
      <c r="D303" s="35">
        <v>2</v>
      </c>
    </row>
    <row r="304" spans="1:10" s="39" customFormat="1" x14ac:dyDescent="0.25">
      <c r="A304" s="21">
        <v>736482</v>
      </c>
      <c r="B304" s="100"/>
      <c r="C304" s="15" t="s">
        <v>441</v>
      </c>
      <c r="D304" s="35">
        <v>3</v>
      </c>
    </row>
    <row r="305" spans="1:8" s="39" customFormat="1" x14ac:dyDescent="0.25">
      <c r="A305" s="21">
        <v>737644</v>
      </c>
      <c r="B305" s="100"/>
      <c r="C305" s="15" t="s">
        <v>442</v>
      </c>
      <c r="D305" s="35">
        <v>1</v>
      </c>
    </row>
    <row r="306" spans="1:8" s="39" customFormat="1" x14ac:dyDescent="0.25">
      <c r="A306" s="21">
        <v>737645</v>
      </c>
      <c r="B306" s="100"/>
      <c r="C306" s="15" t="s">
        <v>443</v>
      </c>
      <c r="D306" s="35">
        <v>2</v>
      </c>
    </row>
    <row r="307" spans="1:8" s="39" customFormat="1" x14ac:dyDescent="0.25">
      <c r="A307" s="21">
        <v>738365</v>
      </c>
      <c r="B307" s="100"/>
      <c r="C307" s="15" t="s">
        <v>447</v>
      </c>
      <c r="D307" s="35">
        <v>3</v>
      </c>
    </row>
    <row r="308" spans="1:8" s="39" customFormat="1" x14ac:dyDescent="0.25">
      <c r="A308" s="21">
        <v>738241</v>
      </c>
      <c r="B308" s="100"/>
      <c r="C308" s="15" t="s">
        <v>456</v>
      </c>
      <c r="D308" s="35">
        <v>2</v>
      </c>
    </row>
    <row r="309" spans="1:8" s="39" customFormat="1" x14ac:dyDescent="0.25">
      <c r="A309" s="21">
        <v>738180</v>
      </c>
      <c r="B309" s="100"/>
      <c r="C309" s="15" t="s">
        <v>457</v>
      </c>
      <c r="D309" s="35">
        <v>2</v>
      </c>
    </row>
    <row r="310" spans="1:8" s="39" customFormat="1" x14ac:dyDescent="0.25">
      <c r="A310" s="21">
        <v>737979</v>
      </c>
      <c r="B310" s="100"/>
      <c r="C310" s="15" t="s">
        <v>455</v>
      </c>
      <c r="D310" s="35">
        <v>1</v>
      </c>
    </row>
    <row r="311" spans="1:8" s="39" customFormat="1" x14ac:dyDescent="0.25">
      <c r="A311" s="21">
        <v>735751</v>
      </c>
      <c r="B311" s="15" t="s">
        <v>463</v>
      </c>
      <c r="C311" s="15" t="s">
        <v>455</v>
      </c>
      <c r="D311" s="35">
        <v>2</v>
      </c>
    </row>
    <row r="312" spans="1:8" s="39" customFormat="1" x14ac:dyDescent="0.25">
      <c r="A312" s="21">
        <v>739281</v>
      </c>
      <c r="B312" s="100"/>
      <c r="C312" s="15" t="s">
        <v>480</v>
      </c>
      <c r="D312" s="35">
        <v>2</v>
      </c>
    </row>
    <row r="313" spans="1:8" s="39" customFormat="1" x14ac:dyDescent="0.25">
      <c r="A313" s="21">
        <v>738224</v>
      </c>
      <c r="B313" s="15" t="s">
        <v>486</v>
      </c>
      <c r="C313" s="15" t="s">
        <v>487</v>
      </c>
      <c r="D313" s="35">
        <v>3</v>
      </c>
      <c r="H313" s="123"/>
    </row>
    <row r="314" spans="1:8" s="39" customFormat="1" x14ac:dyDescent="0.25">
      <c r="A314" s="21">
        <v>738225</v>
      </c>
      <c r="B314" s="15" t="s">
        <v>488</v>
      </c>
      <c r="C314" s="15" t="s">
        <v>489</v>
      </c>
      <c r="D314" s="35">
        <v>3</v>
      </c>
      <c r="H314" s="123"/>
    </row>
    <row r="315" spans="1:8" s="39" customFormat="1" x14ac:dyDescent="0.25">
      <c r="A315" s="21">
        <v>738226</v>
      </c>
      <c r="B315" s="15" t="s">
        <v>490</v>
      </c>
      <c r="C315" s="15" t="s">
        <v>491</v>
      </c>
      <c r="D315" s="35">
        <v>3</v>
      </c>
      <c r="H315" s="123"/>
    </row>
    <row r="316" spans="1:8" s="39" customFormat="1" x14ac:dyDescent="0.25">
      <c r="A316" s="21">
        <v>741275</v>
      </c>
      <c r="B316" s="15"/>
      <c r="C316" s="15" t="s">
        <v>516</v>
      </c>
      <c r="D316" s="35">
        <v>3</v>
      </c>
      <c r="H316" s="123"/>
    </row>
    <row r="317" spans="1:8" s="39" customFormat="1" x14ac:dyDescent="0.25">
      <c r="A317" s="21">
        <v>740206</v>
      </c>
      <c r="B317" s="15"/>
      <c r="C317" s="15" t="s">
        <v>517</v>
      </c>
      <c r="D317" s="35">
        <v>3</v>
      </c>
      <c r="H317" s="123"/>
    </row>
    <row r="318" spans="1:8" s="39" customFormat="1" x14ac:dyDescent="0.25">
      <c r="A318" s="21">
        <v>740207</v>
      </c>
      <c r="B318" s="15"/>
      <c r="C318" s="15" t="s">
        <v>518</v>
      </c>
      <c r="D318" s="35">
        <v>3</v>
      </c>
      <c r="H318" s="123"/>
    </row>
    <row r="319" spans="1:8" s="39" customFormat="1" x14ac:dyDescent="0.25">
      <c r="A319" s="77"/>
      <c r="B319" s="78"/>
      <c r="C319" s="79"/>
      <c r="D319" s="35"/>
    </row>
    <row r="320" spans="1:8" x14ac:dyDescent="0.25">
      <c r="A320" s="80" t="s">
        <v>265</v>
      </c>
      <c r="B320" s="43"/>
      <c r="C320" s="43"/>
    </row>
    <row r="321" spans="1:4" x14ac:dyDescent="0.25">
      <c r="A321" s="19">
        <v>250734</v>
      </c>
      <c r="B321" s="19" t="s">
        <v>266</v>
      </c>
      <c r="C321" s="19" t="s">
        <v>267</v>
      </c>
      <c r="D321" s="3">
        <v>3</v>
      </c>
    </row>
    <row r="322" spans="1:4" x14ac:dyDescent="0.25">
      <c r="A322" s="19">
        <v>250732</v>
      </c>
      <c r="B322" s="19" t="s">
        <v>266</v>
      </c>
      <c r="C322" s="19" t="s">
        <v>268</v>
      </c>
      <c r="D322" s="3">
        <v>3</v>
      </c>
    </row>
    <row r="323" spans="1:4" x14ac:dyDescent="0.25">
      <c r="A323" s="19">
        <v>250733</v>
      </c>
      <c r="B323" s="19" t="s">
        <v>266</v>
      </c>
      <c r="C323" s="19" t="s">
        <v>269</v>
      </c>
      <c r="D323" s="3">
        <v>3</v>
      </c>
    </row>
    <row r="324" spans="1:4" x14ac:dyDescent="0.25">
      <c r="A324" s="19">
        <v>250720</v>
      </c>
      <c r="B324" s="19" t="s">
        <v>266</v>
      </c>
      <c r="C324" s="19" t="s">
        <v>270</v>
      </c>
      <c r="D324" s="3">
        <v>3</v>
      </c>
    </row>
    <row r="325" spans="1:4" x14ac:dyDescent="0.25">
      <c r="A325" s="19">
        <v>323712</v>
      </c>
      <c r="B325" s="19" t="s">
        <v>266</v>
      </c>
      <c r="C325" s="19" t="s">
        <v>271</v>
      </c>
      <c r="D325" s="3">
        <v>3</v>
      </c>
    </row>
    <row r="326" spans="1:4" x14ac:dyDescent="0.25">
      <c r="A326" s="19">
        <v>474783</v>
      </c>
      <c r="B326" s="19" t="s">
        <v>272</v>
      </c>
      <c r="C326" s="81" t="s">
        <v>273</v>
      </c>
      <c r="D326" s="3">
        <v>3</v>
      </c>
    </row>
    <row r="327" spans="1:4" x14ac:dyDescent="0.25">
      <c r="A327" s="19">
        <v>488975</v>
      </c>
      <c r="B327" s="19" t="s">
        <v>272</v>
      </c>
      <c r="C327" s="81" t="s">
        <v>274</v>
      </c>
      <c r="D327" s="3">
        <v>3</v>
      </c>
    </row>
    <row r="328" spans="1:4" x14ac:dyDescent="0.25">
      <c r="A328" s="19">
        <v>474782</v>
      </c>
      <c r="B328" s="19" t="s">
        <v>272</v>
      </c>
      <c r="C328" s="81" t="s">
        <v>275</v>
      </c>
      <c r="D328" s="3">
        <v>3</v>
      </c>
    </row>
    <row r="329" spans="1:4" x14ac:dyDescent="0.25">
      <c r="A329" s="19">
        <v>474787</v>
      </c>
      <c r="B329" s="19" t="s">
        <v>272</v>
      </c>
      <c r="C329" s="81" t="s">
        <v>276</v>
      </c>
      <c r="D329" s="3">
        <v>3</v>
      </c>
    </row>
    <row r="330" spans="1:4" x14ac:dyDescent="0.25">
      <c r="A330" s="19">
        <v>488966</v>
      </c>
      <c r="B330" s="19" t="s">
        <v>272</v>
      </c>
      <c r="C330" s="81" t="s">
        <v>277</v>
      </c>
      <c r="D330" s="3">
        <v>3</v>
      </c>
    </row>
    <row r="331" spans="1:4" x14ac:dyDescent="0.25">
      <c r="A331" s="19">
        <v>488967</v>
      </c>
      <c r="B331" s="19" t="s">
        <v>272</v>
      </c>
      <c r="C331" s="81" t="s">
        <v>278</v>
      </c>
      <c r="D331" s="3">
        <v>3</v>
      </c>
    </row>
    <row r="332" spans="1:4" x14ac:dyDescent="0.25">
      <c r="A332" s="19">
        <v>488961</v>
      </c>
      <c r="B332" s="19" t="s">
        <v>272</v>
      </c>
      <c r="C332" s="19" t="s">
        <v>279</v>
      </c>
      <c r="D332" s="3">
        <v>3</v>
      </c>
    </row>
    <row r="333" spans="1:4" x14ac:dyDescent="0.25">
      <c r="A333" s="19">
        <v>474786</v>
      </c>
      <c r="B333" s="19" t="s">
        <v>272</v>
      </c>
      <c r="C333" s="81" t="s">
        <v>280</v>
      </c>
      <c r="D333" s="3">
        <v>3</v>
      </c>
    </row>
    <row r="334" spans="1:4" x14ac:dyDescent="0.25">
      <c r="A334" s="28">
        <v>393524</v>
      </c>
      <c r="B334" s="29" t="s">
        <v>281</v>
      </c>
      <c r="C334" s="28" t="s">
        <v>282</v>
      </c>
      <c r="D334" s="3">
        <v>3</v>
      </c>
    </row>
    <row r="335" spans="1:4" x14ac:dyDescent="0.25">
      <c r="A335" s="44">
        <v>434739</v>
      </c>
      <c r="B335" s="19" t="s">
        <v>283</v>
      </c>
      <c r="C335" s="44" t="s">
        <v>284</v>
      </c>
      <c r="D335" s="3">
        <v>3</v>
      </c>
    </row>
    <row r="336" spans="1:4" x14ac:dyDescent="0.25">
      <c r="A336" s="44">
        <v>434738</v>
      </c>
      <c r="B336" s="19" t="s">
        <v>283</v>
      </c>
      <c r="C336" s="44" t="s">
        <v>285</v>
      </c>
      <c r="D336" s="3">
        <v>3</v>
      </c>
    </row>
    <row r="337" spans="1:4" x14ac:dyDescent="0.25">
      <c r="A337" s="44">
        <v>428870</v>
      </c>
      <c r="B337" s="19" t="s">
        <v>281</v>
      </c>
      <c r="C337" s="44" t="s">
        <v>286</v>
      </c>
      <c r="D337" s="3">
        <v>3</v>
      </c>
    </row>
    <row r="338" spans="1:4" x14ac:dyDescent="0.25">
      <c r="A338" s="44">
        <v>428867</v>
      </c>
      <c r="B338" s="19" t="s">
        <v>281</v>
      </c>
      <c r="C338" s="44" t="s">
        <v>287</v>
      </c>
      <c r="D338" s="3">
        <v>3</v>
      </c>
    </row>
    <row r="339" spans="1:4" x14ac:dyDescent="0.25">
      <c r="A339" s="29">
        <v>728174</v>
      </c>
      <c r="B339" s="19" t="s">
        <v>288</v>
      </c>
      <c r="C339" s="29" t="s">
        <v>289</v>
      </c>
      <c r="D339" s="3">
        <v>3</v>
      </c>
    </row>
    <row r="340" spans="1:4" x14ac:dyDescent="0.25">
      <c r="A340" s="29">
        <v>728173</v>
      </c>
      <c r="B340" s="19" t="s">
        <v>288</v>
      </c>
      <c r="C340" s="29" t="s">
        <v>290</v>
      </c>
      <c r="D340" s="3">
        <v>3</v>
      </c>
    </row>
    <row r="341" spans="1:4" x14ac:dyDescent="0.25">
      <c r="A341" s="98">
        <v>733190</v>
      </c>
      <c r="B341" s="19"/>
      <c r="C341" s="99" t="s">
        <v>387</v>
      </c>
      <c r="D341" s="3">
        <v>3</v>
      </c>
    </row>
    <row r="342" spans="1:4" x14ac:dyDescent="0.25">
      <c r="A342" s="98">
        <v>733231</v>
      </c>
      <c r="B342" s="19"/>
      <c r="C342" s="99" t="s">
        <v>388</v>
      </c>
      <c r="D342" s="3">
        <v>3</v>
      </c>
    </row>
    <row r="343" spans="1:4" x14ac:dyDescent="0.25">
      <c r="A343" s="98">
        <v>733232</v>
      </c>
      <c r="B343" s="19"/>
      <c r="C343" s="99" t="s">
        <v>389</v>
      </c>
      <c r="D343" s="3">
        <v>3</v>
      </c>
    </row>
    <row r="344" spans="1:4" x14ac:dyDescent="0.25">
      <c r="A344" s="98">
        <v>733233</v>
      </c>
      <c r="B344" s="19"/>
      <c r="C344" s="99" t="s">
        <v>390</v>
      </c>
      <c r="D344" s="3">
        <v>3</v>
      </c>
    </row>
    <row r="345" spans="1:4" x14ac:dyDescent="0.25">
      <c r="A345" s="98">
        <v>733234</v>
      </c>
      <c r="B345" s="19"/>
      <c r="C345" s="99" t="s">
        <v>391</v>
      </c>
      <c r="D345" s="3">
        <v>3</v>
      </c>
    </row>
    <row r="346" spans="1:4" x14ac:dyDescent="0.25">
      <c r="A346" s="98">
        <v>733235</v>
      </c>
      <c r="B346" s="19"/>
      <c r="C346" s="99" t="s">
        <v>392</v>
      </c>
      <c r="D346" s="3">
        <v>3</v>
      </c>
    </row>
    <row r="347" spans="1:4" x14ac:dyDescent="0.25">
      <c r="A347" s="98">
        <v>733236</v>
      </c>
      <c r="B347" s="19"/>
      <c r="C347" s="99" t="s">
        <v>393</v>
      </c>
      <c r="D347" s="3">
        <v>3</v>
      </c>
    </row>
    <row r="348" spans="1:4" x14ac:dyDescent="0.25">
      <c r="A348" s="98">
        <v>733237</v>
      </c>
      <c r="B348" s="19"/>
      <c r="C348" s="99" t="s">
        <v>394</v>
      </c>
      <c r="D348" s="3">
        <v>3</v>
      </c>
    </row>
    <row r="349" spans="1:4" x14ac:dyDescent="0.25">
      <c r="A349" s="98">
        <v>733238</v>
      </c>
      <c r="B349" s="19"/>
      <c r="C349" s="99" t="s">
        <v>395</v>
      </c>
      <c r="D349" s="3">
        <v>3</v>
      </c>
    </row>
    <row r="350" spans="1:4" x14ac:dyDescent="0.25">
      <c r="A350" s="98">
        <v>733239</v>
      </c>
      <c r="B350" s="19"/>
      <c r="C350" s="99" t="s">
        <v>396</v>
      </c>
      <c r="D350" s="3">
        <v>3</v>
      </c>
    </row>
    <row r="351" spans="1:4" x14ac:dyDescent="0.25">
      <c r="A351" s="98">
        <v>733240</v>
      </c>
      <c r="B351" s="19"/>
      <c r="C351" s="99" t="s">
        <v>397</v>
      </c>
      <c r="D351" s="3">
        <v>3</v>
      </c>
    </row>
    <row r="352" spans="1:4" x14ac:dyDescent="0.25">
      <c r="A352" s="98">
        <v>733241</v>
      </c>
      <c r="B352" s="19"/>
      <c r="C352" s="99" t="s">
        <v>398</v>
      </c>
      <c r="D352" s="3">
        <v>3</v>
      </c>
    </row>
    <row r="353" spans="1:4" x14ac:dyDescent="0.25">
      <c r="A353" s="98">
        <v>733242</v>
      </c>
      <c r="B353" s="19"/>
      <c r="C353" s="99" t="s">
        <v>399</v>
      </c>
      <c r="D353" s="3">
        <v>3</v>
      </c>
    </row>
    <row r="354" spans="1:4" x14ac:dyDescent="0.25">
      <c r="A354" s="32">
        <v>498275</v>
      </c>
      <c r="B354" s="33" t="s">
        <v>288</v>
      </c>
      <c r="C354" s="33" t="s">
        <v>291</v>
      </c>
      <c r="D354" s="3">
        <v>3</v>
      </c>
    </row>
    <row r="355" spans="1:4" x14ac:dyDescent="0.25">
      <c r="A355" s="32">
        <v>738193</v>
      </c>
      <c r="B355" s="33"/>
      <c r="C355" s="33" t="s">
        <v>451</v>
      </c>
      <c r="D355" s="3">
        <v>2</v>
      </c>
    </row>
    <row r="356" spans="1:4" x14ac:dyDescent="0.25">
      <c r="A356" s="32">
        <v>738284</v>
      </c>
      <c r="B356" s="33"/>
      <c r="C356" s="33" t="s">
        <v>452</v>
      </c>
      <c r="D356" s="3">
        <v>2</v>
      </c>
    </row>
    <row r="357" spans="1:4" x14ac:dyDescent="0.25">
      <c r="A357" s="32">
        <v>740248</v>
      </c>
      <c r="B357" s="33"/>
      <c r="C357" s="33" t="s">
        <v>481</v>
      </c>
      <c r="D357" s="3">
        <v>3</v>
      </c>
    </row>
    <row r="358" spans="1:4" x14ac:dyDescent="0.25">
      <c r="A358" s="32">
        <v>740249</v>
      </c>
      <c r="B358" s="33"/>
      <c r="C358" s="33" t="s">
        <v>482</v>
      </c>
      <c r="D358" s="3">
        <v>3</v>
      </c>
    </row>
    <row r="359" spans="1:4" x14ac:dyDescent="0.25">
      <c r="A359" s="32">
        <v>740250</v>
      </c>
      <c r="B359" s="33"/>
      <c r="C359" s="33" t="s">
        <v>483</v>
      </c>
      <c r="D359" s="3">
        <v>3</v>
      </c>
    </row>
    <row r="360" spans="1:4" x14ac:dyDescent="0.25">
      <c r="A360" s="32">
        <v>740293</v>
      </c>
      <c r="B360" s="33"/>
      <c r="C360" s="33" t="s">
        <v>500</v>
      </c>
      <c r="D360" s="3">
        <v>3</v>
      </c>
    </row>
    <row r="361" spans="1:4" x14ac:dyDescent="0.25">
      <c r="A361" s="32">
        <v>740294</v>
      </c>
      <c r="B361" s="33"/>
      <c r="C361" s="33" t="s">
        <v>501</v>
      </c>
      <c r="D361" s="3">
        <v>3</v>
      </c>
    </row>
    <row r="362" spans="1:4" x14ac:dyDescent="0.25">
      <c r="A362" s="32">
        <v>740291</v>
      </c>
      <c r="B362" s="33"/>
      <c r="C362" s="33" t="s">
        <v>502</v>
      </c>
      <c r="D362" s="3">
        <v>3</v>
      </c>
    </row>
    <row r="363" spans="1:4" x14ac:dyDescent="0.25">
      <c r="A363" s="32">
        <v>740292</v>
      </c>
      <c r="B363" s="33"/>
      <c r="C363" s="33" t="s">
        <v>503</v>
      </c>
      <c r="D363" s="3">
        <v>3</v>
      </c>
    </row>
    <row r="364" spans="1:4" x14ac:dyDescent="0.25">
      <c r="A364" s="32">
        <v>740311</v>
      </c>
      <c r="B364" s="33"/>
      <c r="C364" s="33" t="s">
        <v>507</v>
      </c>
      <c r="D364" s="3">
        <v>3</v>
      </c>
    </row>
    <row r="365" spans="1:4" x14ac:dyDescent="0.25">
      <c r="A365" s="32">
        <v>740361</v>
      </c>
      <c r="B365" s="33"/>
      <c r="C365" s="33" t="s">
        <v>508</v>
      </c>
      <c r="D365" s="3">
        <v>3</v>
      </c>
    </row>
    <row r="366" spans="1:4" x14ac:dyDescent="0.25">
      <c r="A366" s="32">
        <v>740362</v>
      </c>
      <c r="B366" s="33"/>
      <c r="C366" s="33" t="s">
        <v>509</v>
      </c>
      <c r="D366" s="3">
        <v>3</v>
      </c>
    </row>
    <row r="367" spans="1:4" x14ac:dyDescent="0.25">
      <c r="A367" s="32">
        <v>740312</v>
      </c>
      <c r="B367" s="33"/>
      <c r="C367" s="33" t="s">
        <v>510</v>
      </c>
      <c r="D367" s="3">
        <v>3</v>
      </c>
    </row>
    <row r="368" spans="1:4" x14ac:dyDescent="0.25">
      <c r="A368" s="32">
        <v>740314</v>
      </c>
      <c r="B368" s="33"/>
      <c r="C368" s="33" t="s">
        <v>511</v>
      </c>
      <c r="D368" s="3">
        <v>3</v>
      </c>
    </row>
    <row r="369" spans="1:4" x14ac:dyDescent="0.25">
      <c r="A369" s="32">
        <v>737341</v>
      </c>
      <c r="B369" s="33"/>
      <c r="C369" s="33" t="s">
        <v>512</v>
      </c>
      <c r="D369" s="3">
        <v>3</v>
      </c>
    </row>
    <row r="370" spans="1:4" x14ac:dyDescent="0.25">
      <c r="A370" s="32">
        <v>737345</v>
      </c>
      <c r="B370" s="33"/>
      <c r="C370" s="33" t="s">
        <v>513</v>
      </c>
      <c r="D370" s="3">
        <v>3</v>
      </c>
    </row>
    <row r="371" spans="1:4" x14ac:dyDescent="0.25">
      <c r="A371" s="32">
        <v>740950</v>
      </c>
      <c r="B371" s="33"/>
      <c r="C371" s="33" t="s">
        <v>514</v>
      </c>
      <c r="D371" s="3">
        <v>3</v>
      </c>
    </row>
    <row r="372" spans="1:4" x14ac:dyDescent="0.25">
      <c r="A372" s="32">
        <v>740324</v>
      </c>
      <c r="B372" s="33"/>
      <c r="C372" s="33" t="s">
        <v>515</v>
      </c>
      <c r="D372" s="3">
        <v>3</v>
      </c>
    </row>
    <row r="373" spans="1:4" x14ac:dyDescent="0.25">
      <c r="A373" s="64"/>
      <c r="B373" s="65"/>
      <c r="C373" s="65"/>
    </row>
    <row r="374" spans="1:4" x14ac:dyDescent="0.25">
      <c r="A374" s="82" t="s">
        <v>504</v>
      </c>
      <c r="B374" s="65"/>
      <c r="C374" s="83"/>
    </row>
    <row r="375" spans="1:4" x14ac:dyDescent="0.25">
      <c r="A375" s="32">
        <v>559065</v>
      </c>
      <c r="B375" s="33" t="s">
        <v>292</v>
      </c>
      <c r="C375" s="33" t="s">
        <v>293</v>
      </c>
      <c r="D375" s="3">
        <v>2</v>
      </c>
    </row>
    <row r="376" spans="1:4" x14ac:dyDescent="0.25">
      <c r="A376" s="32">
        <v>738301</v>
      </c>
      <c r="B376" s="33"/>
      <c r="C376" s="33" t="s">
        <v>446</v>
      </c>
      <c r="D376" s="3">
        <v>2</v>
      </c>
    </row>
    <row r="377" spans="1:4" x14ac:dyDescent="0.25">
      <c r="A377" s="32">
        <v>741021</v>
      </c>
      <c r="B377" s="33" t="s">
        <v>506</v>
      </c>
      <c r="C377" s="33" t="s">
        <v>505</v>
      </c>
      <c r="D377" s="3">
        <v>2</v>
      </c>
    </row>
    <row r="378" spans="1:4" x14ac:dyDescent="0.25">
      <c r="A378" s="64"/>
      <c r="B378" s="65"/>
      <c r="C378" s="65"/>
    </row>
    <row r="379" spans="1:4" x14ac:dyDescent="0.25">
      <c r="A379" s="40" t="s">
        <v>294</v>
      </c>
      <c r="B379" s="23"/>
      <c r="C379" s="23"/>
    </row>
    <row r="380" spans="1:4" x14ac:dyDescent="0.25">
      <c r="A380" s="32">
        <v>521962</v>
      </c>
      <c r="B380" s="33" t="s">
        <v>295</v>
      </c>
      <c r="C380" s="33" t="s">
        <v>296</v>
      </c>
      <c r="D380" s="3">
        <v>2</v>
      </c>
    </row>
    <row r="381" spans="1:4" x14ac:dyDescent="0.25">
      <c r="A381" s="64"/>
      <c r="B381" s="65"/>
      <c r="C381" s="65"/>
    </row>
    <row r="382" spans="1:4" x14ac:dyDescent="0.25">
      <c r="A382" s="40" t="s">
        <v>297</v>
      </c>
      <c r="B382" s="23"/>
      <c r="C382" s="23"/>
    </row>
    <row r="383" spans="1:4" x14ac:dyDescent="0.25">
      <c r="A383" s="32">
        <v>565725</v>
      </c>
      <c r="B383" s="33" t="s">
        <v>298</v>
      </c>
      <c r="C383" s="33" t="s">
        <v>299</v>
      </c>
      <c r="D383" s="3">
        <v>2</v>
      </c>
    </row>
    <row r="384" spans="1:4" x14ac:dyDescent="0.25">
      <c r="A384" s="32">
        <v>736351</v>
      </c>
      <c r="B384" s="33"/>
      <c r="C384" s="33" t="s">
        <v>444</v>
      </c>
      <c r="D384" s="22">
        <v>2</v>
      </c>
    </row>
    <row r="385" spans="1:4" x14ac:dyDescent="0.25">
      <c r="A385" s="32">
        <v>738260</v>
      </c>
      <c r="B385" s="33"/>
      <c r="C385" s="33" t="s">
        <v>445</v>
      </c>
      <c r="D385" s="22">
        <v>2</v>
      </c>
    </row>
    <row r="386" spans="1:4" x14ac:dyDescent="0.25">
      <c r="A386" s="32">
        <v>739276</v>
      </c>
      <c r="B386" s="33" t="s">
        <v>465</v>
      </c>
      <c r="C386" s="33" t="s">
        <v>464</v>
      </c>
      <c r="D386" s="22">
        <v>2</v>
      </c>
    </row>
    <row r="387" spans="1:4" x14ac:dyDescent="0.25">
      <c r="A387" s="32">
        <v>741572</v>
      </c>
      <c r="B387" s="33"/>
      <c r="C387" s="33" t="s">
        <v>519</v>
      </c>
      <c r="D387" s="22">
        <v>2</v>
      </c>
    </row>
    <row r="388" spans="1:4" x14ac:dyDescent="0.25">
      <c r="A388" s="64"/>
      <c r="B388" s="65"/>
      <c r="C388" s="65"/>
    </row>
    <row r="389" spans="1:4" x14ac:dyDescent="0.25">
      <c r="A389" s="40" t="s">
        <v>300</v>
      </c>
      <c r="B389" s="26"/>
      <c r="C389" s="23"/>
    </row>
    <row r="390" spans="1:4" ht="25.5" x14ac:dyDescent="0.25">
      <c r="A390" s="19">
        <v>373596</v>
      </c>
      <c r="B390" s="19" t="s">
        <v>156</v>
      </c>
      <c r="C390" s="84" t="s">
        <v>301</v>
      </c>
      <c r="D390" s="3">
        <v>1</v>
      </c>
    </row>
    <row r="391" spans="1:4" ht="25.5" x14ac:dyDescent="0.25">
      <c r="A391" s="19">
        <v>373597</v>
      </c>
      <c r="B391" s="19" t="s">
        <v>156</v>
      </c>
      <c r="C391" s="84" t="s">
        <v>302</v>
      </c>
      <c r="D391" s="3">
        <v>1</v>
      </c>
    </row>
    <row r="392" spans="1:4" x14ac:dyDescent="0.25">
      <c r="A392" s="108">
        <v>736595</v>
      </c>
      <c r="B392" s="108" t="s">
        <v>156</v>
      </c>
      <c r="C392" s="109" t="s">
        <v>414</v>
      </c>
      <c r="D392" s="3">
        <v>0</v>
      </c>
    </row>
    <row r="393" spans="1:4" x14ac:dyDescent="0.25">
      <c r="A393" s="43"/>
      <c r="B393" s="43"/>
      <c r="C393" s="43"/>
    </row>
    <row r="394" spans="1:4" x14ac:dyDescent="0.25">
      <c r="A394" s="85" t="s">
        <v>303</v>
      </c>
      <c r="B394" s="43"/>
      <c r="C394" s="43"/>
    </row>
    <row r="395" spans="1:4" x14ac:dyDescent="0.25">
      <c r="A395" s="28">
        <v>728099</v>
      </c>
      <c r="B395" s="86" t="s">
        <v>304</v>
      </c>
      <c r="C395" s="69" t="s">
        <v>305</v>
      </c>
      <c r="D395" s="3">
        <v>0</v>
      </c>
    </row>
    <row r="396" spans="1:4" x14ac:dyDescent="0.25">
      <c r="A396" s="28">
        <v>728098</v>
      </c>
      <c r="B396" s="86" t="s">
        <v>304</v>
      </c>
      <c r="C396" s="69" t="s">
        <v>306</v>
      </c>
      <c r="D396" s="3">
        <v>0</v>
      </c>
    </row>
    <row r="397" spans="1:4" x14ac:dyDescent="0.25">
      <c r="A397" s="76">
        <v>731957</v>
      </c>
      <c r="B397" s="15"/>
      <c r="C397" s="87" t="s">
        <v>307</v>
      </c>
      <c r="D397" s="3">
        <v>0</v>
      </c>
    </row>
    <row r="398" spans="1:4" x14ac:dyDescent="0.25">
      <c r="A398" s="76">
        <v>683129</v>
      </c>
      <c r="B398" s="15"/>
      <c r="C398" s="87" t="s">
        <v>400</v>
      </c>
      <c r="D398" s="3">
        <v>0</v>
      </c>
    </row>
    <row r="399" spans="1:4" x14ac:dyDescent="0.25">
      <c r="A399" s="28">
        <v>728096</v>
      </c>
      <c r="B399" s="86" t="s">
        <v>308</v>
      </c>
      <c r="C399" s="69" t="s">
        <v>309</v>
      </c>
      <c r="D399" s="3">
        <v>0</v>
      </c>
    </row>
    <row r="400" spans="1:4" x14ac:dyDescent="0.25">
      <c r="A400" s="28">
        <v>728093</v>
      </c>
      <c r="B400" s="88" t="s">
        <v>310</v>
      </c>
      <c r="C400" s="69" t="s">
        <v>311</v>
      </c>
      <c r="D400" s="3">
        <v>0</v>
      </c>
    </row>
    <row r="401" spans="1:4" x14ac:dyDescent="0.25">
      <c r="A401" s="28">
        <v>728101</v>
      </c>
      <c r="B401" s="88" t="s">
        <v>312</v>
      </c>
      <c r="C401" s="69" t="s">
        <v>313</v>
      </c>
      <c r="D401" s="3">
        <v>0</v>
      </c>
    </row>
    <row r="402" spans="1:4" x14ac:dyDescent="0.25">
      <c r="A402" s="28">
        <v>728100</v>
      </c>
      <c r="B402" s="88" t="s">
        <v>314</v>
      </c>
      <c r="C402" s="69" t="s">
        <v>315</v>
      </c>
      <c r="D402" s="3">
        <v>0</v>
      </c>
    </row>
    <row r="403" spans="1:4" x14ac:dyDescent="0.25">
      <c r="A403" s="76">
        <v>731958</v>
      </c>
      <c r="B403" s="15"/>
      <c r="C403" s="87" t="s">
        <v>316</v>
      </c>
      <c r="D403" s="3">
        <v>0</v>
      </c>
    </row>
    <row r="404" spans="1:4" x14ac:dyDescent="0.25">
      <c r="A404" s="28">
        <v>728103</v>
      </c>
      <c r="B404" s="86" t="s">
        <v>317</v>
      </c>
      <c r="C404" s="69" t="s">
        <v>318</v>
      </c>
      <c r="D404" s="3">
        <v>0</v>
      </c>
    </row>
    <row r="405" spans="1:4" x14ac:dyDescent="0.25">
      <c r="A405" s="110">
        <v>736426</v>
      </c>
      <c r="B405" s="111"/>
      <c r="C405" s="112" t="s">
        <v>415</v>
      </c>
      <c r="D405" s="3">
        <v>0</v>
      </c>
    </row>
    <row r="406" spans="1:4" x14ac:dyDescent="0.25">
      <c r="A406" s="110">
        <v>736492</v>
      </c>
      <c r="B406" s="111"/>
      <c r="C406" s="112" t="s">
        <v>416</v>
      </c>
      <c r="D406" s="3">
        <v>0</v>
      </c>
    </row>
    <row r="407" spans="1:4" x14ac:dyDescent="0.25">
      <c r="A407" s="43"/>
      <c r="B407" s="43"/>
      <c r="C407" s="43"/>
    </row>
    <row r="408" spans="1:4" x14ac:dyDescent="0.25">
      <c r="A408" s="85" t="s">
        <v>319</v>
      </c>
      <c r="B408" s="43"/>
      <c r="C408" s="43"/>
    </row>
    <row r="409" spans="1:4" x14ac:dyDescent="0.25">
      <c r="A409" s="29">
        <v>564567</v>
      </c>
      <c r="B409" s="19" t="s">
        <v>320</v>
      </c>
      <c r="C409" s="29" t="s">
        <v>321</v>
      </c>
      <c r="D409" s="3">
        <v>0</v>
      </c>
    </row>
    <row r="410" spans="1:4" x14ac:dyDescent="0.25">
      <c r="A410" s="29">
        <v>561278</v>
      </c>
      <c r="B410" s="19" t="s">
        <v>161</v>
      </c>
      <c r="C410" s="29" t="s">
        <v>322</v>
      </c>
      <c r="D410" s="3">
        <v>0</v>
      </c>
    </row>
    <row r="411" spans="1:4" x14ac:dyDescent="0.25">
      <c r="A411" s="29">
        <v>567043</v>
      </c>
      <c r="B411" s="19" t="s">
        <v>323</v>
      </c>
      <c r="C411" s="29" t="s">
        <v>324</v>
      </c>
      <c r="D411" s="3">
        <v>0</v>
      </c>
    </row>
    <row r="412" spans="1:4" x14ac:dyDescent="0.25">
      <c r="A412" s="28">
        <v>578277</v>
      </c>
      <c r="B412" s="19" t="s">
        <v>325</v>
      </c>
      <c r="C412" s="30" t="s">
        <v>326</v>
      </c>
      <c r="D412" s="3">
        <v>1</v>
      </c>
    </row>
    <row r="413" spans="1:4" x14ac:dyDescent="0.25">
      <c r="A413" s="29">
        <v>571223</v>
      </c>
      <c r="B413" s="19" t="s">
        <v>327</v>
      </c>
      <c r="C413" s="29" t="s">
        <v>328</v>
      </c>
      <c r="D413" s="3">
        <v>2</v>
      </c>
    </row>
    <row r="415" spans="1:4" ht="18" customHeight="1" x14ac:dyDescent="0.25">
      <c r="A415" s="89"/>
      <c r="B415" s="5"/>
    </row>
    <row r="416" spans="1:4" x14ac:dyDescent="0.25">
      <c r="A416" s="85" t="s">
        <v>448</v>
      </c>
      <c r="B416" s="43"/>
      <c r="C416" s="43"/>
    </row>
    <row r="417" spans="1:4" x14ac:dyDescent="0.25">
      <c r="A417" s="29">
        <v>738365</v>
      </c>
      <c r="B417" s="19"/>
      <c r="C417" s="29" t="s">
        <v>449</v>
      </c>
      <c r="D417" s="3">
        <v>2</v>
      </c>
    </row>
    <row r="419" spans="1:4" x14ac:dyDescent="0.25">
      <c r="A419" s="85" t="s">
        <v>484</v>
      </c>
      <c r="B419" s="43"/>
      <c r="C419" s="43"/>
    </row>
    <row r="420" spans="1:4" x14ac:dyDescent="0.25">
      <c r="A420" s="29">
        <v>739859</v>
      </c>
      <c r="B420" s="19"/>
      <c r="C420" s="29" t="s">
        <v>485</v>
      </c>
      <c r="D420" s="3">
        <v>2</v>
      </c>
    </row>
    <row r="422" spans="1:4" x14ac:dyDescent="0.25">
      <c r="A422" s="85" t="s">
        <v>528</v>
      </c>
      <c r="B422" s="43"/>
      <c r="C422" s="43"/>
    </row>
    <row r="423" spans="1:4" x14ac:dyDescent="0.25">
      <c r="A423" s="29">
        <v>737435</v>
      </c>
      <c r="B423" s="19"/>
      <c r="C423" s="29" t="s">
        <v>529</v>
      </c>
      <c r="D423" s="3">
        <v>2</v>
      </c>
    </row>
  </sheetData>
  <sheetProtection autoFilter="0"/>
  <phoneticPr fontId="49" type="noConversion"/>
  <conditionalFormatting sqref="A272:A273">
    <cfRule type="duplicateValues" dxfId="52" priority="64"/>
  </conditionalFormatting>
  <conditionalFormatting sqref="A275:A276">
    <cfRule type="duplicateValues" dxfId="51" priority="63"/>
  </conditionalFormatting>
  <conditionalFormatting sqref="A263">
    <cfRule type="duplicateValues" dxfId="50" priority="62"/>
  </conditionalFormatting>
  <conditionalFormatting sqref="A279:A281">
    <cfRule type="duplicateValues" dxfId="49" priority="61"/>
  </conditionalFormatting>
  <conditionalFormatting sqref="A277">
    <cfRule type="duplicateValues" dxfId="48" priority="60"/>
  </conditionalFormatting>
  <conditionalFormatting sqref="A132">
    <cfRule type="duplicateValues" dxfId="47" priority="58"/>
  </conditionalFormatting>
  <conditionalFormatting sqref="A397:A398">
    <cfRule type="duplicateValues" dxfId="46" priority="57"/>
  </conditionalFormatting>
  <conditionalFormatting sqref="A403">
    <cfRule type="duplicateValues" dxfId="45" priority="56"/>
  </conditionalFormatting>
  <conditionalFormatting sqref="A268:A269">
    <cfRule type="duplicateValues" dxfId="44" priority="65"/>
  </conditionalFormatting>
  <conditionalFormatting sqref="A10:A12">
    <cfRule type="duplicateValues" dxfId="43" priority="55"/>
  </conditionalFormatting>
  <conditionalFormatting sqref="A30:A41 A43:A45">
    <cfRule type="duplicateValues" dxfId="42" priority="54"/>
  </conditionalFormatting>
  <conditionalFormatting sqref="A51:A53">
    <cfRule type="duplicateValues" dxfId="41" priority="53"/>
  </conditionalFormatting>
  <conditionalFormatting sqref="A65">
    <cfRule type="duplicateValues" dxfId="40" priority="51"/>
  </conditionalFormatting>
  <conditionalFormatting sqref="A67">
    <cfRule type="duplicateValues" dxfId="39" priority="50"/>
  </conditionalFormatting>
  <conditionalFormatting sqref="A66">
    <cfRule type="duplicateValues" dxfId="38" priority="49"/>
  </conditionalFormatting>
  <conditionalFormatting sqref="A68">
    <cfRule type="duplicateValues" dxfId="37" priority="52"/>
  </conditionalFormatting>
  <conditionalFormatting sqref="A69">
    <cfRule type="duplicateValues" dxfId="36" priority="48"/>
  </conditionalFormatting>
  <conditionalFormatting sqref="A70 A76">
    <cfRule type="duplicateValues" dxfId="35" priority="47"/>
  </conditionalFormatting>
  <conditionalFormatting sqref="A118:A124">
    <cfRule type="duplicateValues" dxfId="34" priority="46"/>
  </conditionalFormatting>
  <conditionalFormatting sqref="A117">
    <cfRule type="duplicateValues" dxfId="33" priority="45"/>
  </conditionalFormatting>
  <conditionalFormatting sqref="A145">
    <cfRule type="duplicateValues" dxfId="32" priority="44"/>
  </conditionalFormatting>
  <conditionalFormatting sqref="A147:A149">
    <cfRule type="duplicateValues" dxfId="31" priority="43"/>
  </conditionalFormatting>
  <conditionalFormatting sqref="A194">
    <cfRule type="duplicateValues" dxfId="30" priority="42"/>
  </conditionalFormatting>
  <conditionalFormatting sqref="A216:A218 A220:A227">
    <cfRule type="duplicateValues" dxfId="29" priority="41"/>
  </conditionalFormatting>
  <conditionalFormatting sqref="A214">
    <cfRule type="duplicateValues" dxfId="28" priority="40"/>
  </conditionalFormatting>
  <conditionalFormatting sqref="A215">
    <cfRule type="duplicateValues" dxfId="27" priority="39"/>
  </conditionalFormatting>
  <conditionalFormatting sqref="A232:A234">
    <cfRule type="duplicateValues" dxfId="26" priority="38"/>
  </conditionalFormatting>
  <conditionalFormatting sqref="A240:A243">
    <cfRule type="duplicateValues" dxfId="25" priority="37"/>
  </conditionalFormatting>
  <conditionalFormatting sqref="A296">
    <cfRule type="duplicateValues" dxfId="24" priority="36"/>
  </conditionalFormatting>
  <conditionalFormatting sqref="A298">
    <cfRule type="duplicateValues" dxfId="23" priority="35"/>
  </conditionalFormatting>
  <conditionalFormatting sqref="A297">
    <cfRule type="duplicateValues" dxfId="22" priority="34"/>
  </conditionalFormatting>
  <conditionalFormatting sqref="A392:A415 A65:A70 A1:A8 A10:A41 A175:A185 A76:A88 A418 A187:A218 A90:A145 A220:A306 A43:A63 A310:A340 A354:A390 A421 A147:A162 A424:A1048576">
    <cfRule type="duplicateValues" dxfId="21" priority="33"/>
  </conditionalFormatting>
  <conditionalFormatting sqref="A64">
    <cfRule type="duplicateValues" dxfId="20" priority="31"/>
  </conditionalFormatting>
  <conditionalFormatting sqref="A9">
    <cfRule type="duplicateValues" dxfId="19" priority="30"/>
  </conditionalFormatting>
  <conditionalFormatting sqref="A9">
    <cfRule type="duplicateValues" dxfId="18" priority="29"/>
  </conditionalFormatting>
  <conditionalFormatting sqref="A186">
    <cfRule type="duplicateValues" dxfId="17" priority="18"/>
  </conditionalFormatting>
  <conditionalFormatting sqref="A391">
    <cfRule type="duplicateValues" dxfId="16" priority="17"/>
  </conditionalFormatting>
  <conditionalFormatting sqref="A71:A75">
    <cfRule type="duplicateValues" dxfId="15" priority="16"/>
  </conditionalFormatting>
  <conditionalFormatting sqref="A71:A75">
    <cfRule type="duplicateValues" dxfId="14" priority="15"/>
  </conditionalFormatting>
  <conditionalFormatting sqref="A416">
    <cfRule type="duplicateValues" dxfId="13" priority="14"/>
  </conditionalFormatting>
  <conditionalFormatting sqref="A417">
    <cfRule type="duplicateValues" dxfId="12" priority="13"/>
  </conditionalFormatting>
  <conditionalFormatting sqref="A146">
    <cfRule type="duplicateValues" dxfId="11" priority="12"/>
  </conditionalFormatting>
  <conditionalFormatting sqref="A146">
    <cfRule type="duplicateValues" dxfId="10" priority="11"/>
  </conditionalFormatting>
  <conditionalFormatting sqref="A89">
    <cfRule type="duplicateValues" dxfId="9" priority="10"/>
  </conditionalFormatting>
  <conditionalFormatting sqref="A307:A309">
    <cfRule type="duplicateValues" dxfId="8" priority="9"/>
  </conditionalFormatting>
  <conditionalFormatting sqref="A42">
    <cfRule type="duplicateValues" dxfId="7" priority="8"/>
  </conditionalFormatting>
  <conditionalFormatting sqref="A42">
    <cfRule type="duplicateValues" dxfId="6" priority="7"/>
  </conditionalFormatting>
  <conditionalFormatting sqref="A219">
    <cfRule type="duplicateValues" dxfId="5" priority="6"/>
  </conditionalFormatting>
  <conditionalFormatting sqref="A219">
    <cfRule type="duplicateValues" dxfId="4" priority="5"/>
  </conditionalFormatting>
  <conditionalFormatting sqref="A419">
    <cfRule type="duplicateValues" dxfId="3" priority="4"/>
  </conditionalFormatting>
  <conditionalFormatting sqref="A420">
    <cfRule type="duplicateValues" dxfId="2" priority="3"/>
  </conditionalFormatting>
  <conditionalFormatting sqref="A422">
    <cfRule type="duplicateValues" dxfId="1" priority="2"/>
  </conditionalFormatting>
  <conditionalFormatting sqref="A423">
    <cfRule type="duplicateValues" dxfId="0" priority="1"/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PRETRAGA po artiklu</vt:lpstr>
      <vt:lpstr>Tablica statusa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Lepen Željko</dc:creator>
  <cp:lastModifiedBy>Željko Lepen</cp:lastModifiedBy>
  <dcterms:created xsi:type="dcterms:W3CDTF">2018-12-18T07:20:53Z</dcterms:created>
  <dcterms:modified xsi:type="dcterms:W3CDTF">2023-07-07T11:51:42Z</dcterms:modified>
</cp:coreProperties>
</file>